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aniel\Desktop\"/>
    </mc:Choice>
  </mc:AlternateContent>
  <xr:revisionPtr revIDLastSave="0" documentId="13_ncr:1_{3DFE38DF-0FBB-4FF1-818B-8756D0737B37}" xr6:coauthVersionLast="47" xr6:coauthVersionMax="47" xr10:uidLastSave="{00000000-0000-0000-0000-000000000000}"/>
  <bookViews>
    <workbookView xWindow="-108" yWindow="-108" windowWidth="23256" windowHeight="12456" activeTab="3" xr2:uid="{393D6FD4-5879-484E-B0AD-9B6746D882A7}"/>
  </bookViews>
  <sheets>
    <sheet name="Cateogrías" sheetId="4" r:id="rId1"/>
    <sheet name="Eval_Estud_GPT" sheetId="5" r:id="rId2"/>
    <sheet name="Eval_Estud_Gemini" sheetId="7" r:id="rId3"/>
    <sheet name="Eval_Docent_GPT" sheetId="8" r:id="rId4"/>
    <sheet name="Eval_Docent_Gemini"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9" l="1"/>
  <c r="W6" i="9"/>
  <c r="V6" i="9"/>
  <c r="U6" i="9"/>
  <c r="T6" i="9"/>
  <c r="S6" i="9"/>
  <c r="R6" i="9"/>
  <c r="U6" i="8"/>
  <c r="X6" i="8"/>
  <c r="W6" i="8"/>
  <c r="V6" i="8"/>
  <c r="T6" i="8"/>
  <c r="S6" i="8"/>
  <c r="R6" i="8"/>
  <c r="H6" i="9"/>
  <c r="I6" i="9"/>
  <c r="H6" i="8"/>
  <c r="I6" i="8"/>
  <c r="G6" i="9"/>
  <c r="F6" i="9"/>
  <c r="E6" i="9"/>
  <c r="D6" i="9"/>
  <c r="E6" i="8"/>
  <c r="F6" i="8"/>
  <c r="G6" i="8"/>
  <c r="D6" i="8"/>
  <c r="S261" i="7"/>
  <c r="S259" i="7"/>
  <c r="R253" i="7"/>
  <c r="S262" i="7"/>
  <c r="R262" i="7"/>
  <c r="Q262" i="7"/>
  <c r="P262" i="7"/>
  <c r="O262" i="7"/>
  <c r="N262" i="7"/>
  <c r="M262" i="7"/>
  <c r="L262" i="7"/>
  <c r="K262" i="7"/>
  <c r="J262" i="7"/>
  <c r="I262" i="7"/>
  <c r="H262" i="7"/>
  <c r="R261" i="7"/>
  <c r="Q261" i="7"/>
  <c r="P261" i="7"/>
  <c r="O261" i="7"/>
  <c r="N261" i="7"/>
  <c r="M261" i="7"/>
  <c r="L261" i="7"/>
  <c r="K261" i="7"/>
  <c r="J261" i="7"/>
  <c r="I261" i="7"/>
  <c r="H261" i="7"/>
  <c r="S260" i="7"/>
  <c r="R260" i="7"/>
  <c r="Q260" i="7"/>
  <c r="P260" i="7"/>
  <c r="O260" i="7"/>
  <c r="N260" i="7"/>
  <c r="M260" i="7"/>
  <c r="L260" i="7"/>
  <c r="K260" i="7"/>
  <c r="J260" i="7"/>
  <c r="I260" i="7"/>
  <c r="H260" i="7"/>
  <c r="R259" i="7"/>
  <c r="Q259" i="7"/>
  <c r="P259" i="7"/>
  <c r="O259" i="7"/>
  <c r="N259" i="7"/>
  <c r="M259" i="7"/>
  <c r="L259" i="7"/>
  <c r="K259" i="7"/>
  <c r="J259" i="7"/>
  <c r="I259" i="7"/>
  <c r="H259" i="7"/>
  <c r="S258" i="7"/>
  <c r="R258" i="7"/>
  <c r="Q258" i="7"/>
  <c r="P258" i="7"/>
  <c r="O258" i="7"/>
  <c r="N258" i="7"/>
  <c r="M258" i="7"/>
  <c r="L258" i="7"/>
  <c r="K258" i="7"/>
  <c r="J258" i="7"/>
  <c r="I258" i="7"/>
  <c r="H258" i="7"/>
  <c r="S253" i="7"/>
  <c r="Q253" i="7"/>
  <c r="P253" i="7"/>
  <c r="P256" i="7" s="1"/>
  <c r="O253" i="7"/>
  <c r="O256" i="7" s="1"/>
  <c r="N253" i="7"/>
  <c r="N256" i="7" s="1"/>
  <c r="M253" i="7"/>
  <c r="M256" i="7" s="1"/>
  <c r="L253" i="7"/>
  <c r="K253" i="7"/>
  <c r="J253" i="7"/>
  <c r="I253" i="7"/>
  <c r="H253" i="7"/>
  <c r="S260" i="5"/>
  <c r="S258" i="5"/>
  <c r="S262" i="5"/>
  <c r="S253" i="5"/>
  <c r="M258" i="5"/>
  <c r="N258" i="5"/>
  <c r="O258" i="5"/>
  <c r="P258" i="5"/>
  <c r="Q258" i="5"/>
  <c r="R258" i="5"/>
  <c r="M259" i="5"/>
  <c r="N259" i="5"/>
  <c r="O259" i="5"/>
  <c r="P259" i="5"/>
  <c r="Q259" i="5"/>
  <c r="R259" i="5"/>
  <c r="M260" i="5"/>
  <c r="N260" i="5"/>
  <c r="O260" i="5"/>
  <c r="P260" i="5"/>
  <c r="Q260" i="5"/>
  <c r="R260" i="5"/>
  <c r="M261" i="5"/>
  <c r="N261" i="5"/>
  <c r="O261" i="5"/>
  <c r="P261" i="5"/>
  <c r="Q261" i="5"/>
  <c r="R261" i="5"/>
  <c r="M262" i="5"/>
  <c r="N262" i="5"/>
  <c r="O262" i="5"/>
  <c r="P262" i="5"/>
  <c r="Q262" i="5"/>
  <c r="R262" i="5"/>
  <c r="L258" i="5"/>
  <c r="L259" i="5"/>
  <c r="L260" i="5"/>
  <c r="L261" i="5"/>
  <c r="L262" i="5"/>
  <c r="I258" i="5"/>
  <c r="J258" i="5"/>
  <c r="K258" i="5"/>
  <c r="I259" i="5"/>
  <c r="J259" i="5"/>
  <c r="K259" i="5"/>
  <c r="I260" i="5"/>
  <c r="J260" i="5"/>
  <c r="K260" i="5"/>
  <c r="I261" i="5"/>
  <c r="J261" i="5"/>
  <c r="K261" i="5"/>
  <c r="I262" i="5"/>
  <c r="J262" i="5"/>
  <c r="K262" i="5"/>
  <c r="H262" i="5"/>
  <c r="H261" i="5"/>
  <c r="H260" i="5"/>
  <c r="H259" i="5"/>
  <c r="H258" i="5"/>
  <c r="M253" i="5"/>
  <c r="M256" i="5" s="1"/>
  <c r="N253" i="5"/>
  <c r="N256" i="5" s="1"/>
  <c r="O253" i="5"/>
  <c r="O256" i="5" s="1"/>
  <c r="P253" i="5"/>
  <c r="P256" i="5" s="1"/>
  <c r="Q253" i="5"/>
  <c r="R253" i="5"/>
  <c r="I253" i="5"/>
  <c r="J253" i="5"/>
  <c r="K253" i="5"/>
  <c r="L253" i="5"/>
  <c r="H253" i="5"/>
</calcChain>
</file>

<file path=xl/sharedStrings.xml><?xml version="1.0" encoding="utf-8"?>
<sst xmlns="http://schemas.openxmlformats.org/spreadsheetml/2006/main" count="1178" uniqueCount="577">
  <si>
    <t>Definición</t>
  </si>
  <si>
    <t>Factual simple</t>
  </si>
  <si>
    <t>Ejemplo</t>
  </si>
  <si>
    <r>
      <rPr>
        <b/>
        <sz val="12"/>
        <color theme="4"/>
        <rFont val="Calibri (Cuerpo)"/>
      </rPr>
      <t>Tipo de pregunta (*)</t>
    </r>
    <r>
      <rPr>
        <sz val="12"/>
        <color theme="4"/>
        <rFont val="Calibri (Cuerpo)"/>
      </rPr>
      <t>:</t>
    </r>
    <r>
      <rPr>
        <sz val="12"/>
        <color theme="1"/>
        <rFont val="Calibri"/>
        <family val="2"/>
        <scheme val="minor"/>
      </rPr>
      <t xml:space="preserve"> Se podría considerar las categorías de preguntas que se indican a continuación (tabla generada con ChatGPT)</t>
    </r>
  </si>
  <si>
    <t>Utilidad / Relevancia (0–3) ¿Responde a la pregunta y es accionable?</t>
  </si>
  <si>
    <t>Fluidez / Calidad del lenguaje (0–2)</t>
  </si>
  <si>
    <t>Nro Q</t>
  </si>
  <si>
    <t>Documentos recuperados</t>
  </si>
  <si>
    <t>Precision@5: Fracción de documentos en top-K que son relevantes.</t>
  </si>
  <si>
    <t>Categoría</t>
  </si>
  <si>
    <t>Factual Simple</t>
  </si>
  <si>
    <t>Tabla para estudiante</t>
  </si>
  <si>
    <t>Tiempo de ejecución (s)</t>
  </si>
  <si>
    <t>Modelo</t>
  </si>
  <si>
    <t>GPT-5-mini</t>
  </si>
  <si>
    <t>    }</t>
  </si>
  <si>
    <t>  },</t>
  </si>
  <si>
    <t>relevancia (umbral 0,3)</t>
  </si>
  <si>
    <t>relevancia (umbral 0,4)</t>
  </si>
  <si>
    <t>relevancia (umbral 0,5)</t>
  </si>
  <si>
    <t>Tiempo de ejecución herramienta RAG (s)</t>
  </si>
  <si>
    <t>Tiempo de ejecución herramienta WEB (s)</t>
  </si>
  <si>
    <t>Categoria</t>
  </si>
  <si>
    <t>Preguntas que requieren definiciones precisas y conceptos fundamentales sin necesidad de razonamiento complejo.</t>
  </si>
  <si>
    <t>"¿Qué es el Análisis Exploratorio de Datos (EDA) y cuál es su objetivo principal?"</t>
  </si>
  <si>
    <t>Procedural / How-to</t>
  </si>
  <si>
    <t>Consultas sobre flujos de trabajo, pasos secuenciales y "recetas" para ejecutar tareas técnicas.</t>
  </si>
  <si>
    <t>"¿Cómo estructurar un proyecto de EDA para presentarlo como portafolio?"</t>
  </si>
  <si>
    <t>Preguntas enfocadas en la validación, detección de errores, cumplimiento de supuestos y métricas de rendimiento.</t>
  </si>
  <si>
    <t>"¿Cómo verificar que las suposiciones básicas de la regresión lineal se cumplen?"</t>
  </si>
  <si>
    <t>Indaga en el "por qué" matemático y la lógica detrás de los algoritmos y resultados estadísticos.</t>
  </si>
  <si>
    <t>Solicitudes de recomendaciones sobre herramientas específicas, librerías o fuentes bibliográficas.</t>
  </si>
  <si>
    <t>Diagnóstico / Evaluación de modelos</t>
  </si>
  <si>
    <t>Teórica / Interpretación</t>
  </si>
  <si>
    <t>Recursos / Herramientas</t>
  </si>
  <si>
    <t>Qué es el Análisis Exploratorio de Datos (EDA) y cuál es su objetivo principal?</t>
  </si>
  <si>
    <t>¿Qué se entiende por overfitting en modelos predictivos?</t>
  </si>
  <si>
    <t>Qué se entiende por 'leverage' e 'influencia' en regresión?</t>
  </si>
  <si>
    <t>"¿Cuál es la diferencia entre correlación y causalidad, y por qué aún usamos regresión?"</t>
  </si>
  <si>
    <t>"¿Qué es SMOTE y cuándo conviene usarlo para balancear clases?"</t>
  </si>
  <si>
    <t>"¿Qué es la heterocedasticidad y por qué importa en regresión?"</t>
  </si>
  <si>
    <t>"¿Qué es un hold-out set y por qué se utiliza?"</t>
  </si>
  <si>
    <t>"¿Cuál es la diferencia práctica entre AUC-ROC y AUC-PR y cuándo usar cada uno?"</t>
  </si>
  <si>
    <t>"Qué es CUDA?"</t>
  </si>
  <si>
    <t>"¿Qué chequeos iniciales conviene hacer antes de una regresión múltiple?"</t>
  </si>
  <si>
    <t>Promedio</t>
  </si>
  <si>
    <t>"¿Cómo usar regularización junto con feature engineering para mejorar un modelo lineal?"</t>
  </si>
  <si>
    <t>"¿Cómo comparar distintos modelos (ej. Logistic vs Random Forest vs XGBoost) de forma justa?"</t>
  </si>
  <si>
    <t>"¿Cómo decidir la longitud óptima de ventana en una rolling regression para series temporales?"</t>
  </si>
  <si>
    <t>"¿Cuál es una secuencia segura de pasos respecto a EDA vs train/test split para evitar leakage?"</t>
  </si>
  <si>
    <t>"¿Cómo elegir transformaciones para variables en regresión usando validación?"</t>
  </si>
  <si>
    <t>"¿Cómo construir un pipeline reproducible de ML con versionado de datos y modelos (MLOps básico)?"</t>
  </si>
  <si>
    <t>"¿Cómo hacer feature selection usando SHAP o permutation importance paso a paso?"</t>
  </si>
  <si>
    <t>"¿Qué hacer si un outlier es real pero tiene alta influencia en el modelo?"</t>
  </si>
  <si>
    <t>"¿Cómo detectar multicolinealidad y qué impacto tiene en la regresión?"</t>
  </si>
  <si>
    <t>"¿Qué métricas o comparaciones ayudan a detectar overfitting entre train y test?"</t>
  </si>
  <si>
    <t>"¿Cuándo los gráficos de residuos son suficientes para decidir una transformación?"</t>
  </si>
  <si>
    <t>"¿Cómo evaluar el sobreajuste en modelos mixtos usando métricas predictivas?"</t>
  </si>
  <si>
    <t>"¿Qué chequeos pueden ayudar a identificar data leakage antes de entrenar un modelo?"</t>
  </si>
  <si>
    <t>"¿Cómo usar la relación bias–variance para diagnosticar problemas de generalización?"</t>
  </si>
  <si>
    <t>"¿Cómo detectar concept drift en modelos desplegados en producción?"</t>
  </si>
  <si>
    <t>"¿Qué técnicas estadísticas permiten diagnosticar autocorrelación en residuos de modelos de series temporales?"</t>
  </si>
  <si>
    <t>Soporte esperado: Directo/ Parcial/ No soportado</t>
  </si>
  <si>
    <t>"Definición y objetivo principal\n- El Análisis Exploratorio de Datos (EDA) es el conjunto de técnicas descriptivas y visuales que se aplican al inicio de un proyecto para entender la estructura, calidad y relaciones en un conjunto de datos.\n- Su objetivo principal es descubrir patrones, detectar errores o valores atípicos, comprobar supuestos y generar (o refinar) hipótesis que orienten el análisis y el modelado posterior.\n\nTareas típicas en EDA\n- Revisión rápida de la estructura: dimensiones, tipos de variables, identificadores únicos.\n- Calidad de datos: detección de valores faltantes, duplicados, formatos incorrectos y errores.\n- Resúmenes univariados: medias, medianas, desviaciones, cuantiles, frecuencias.\n- Visualizaciones: histogramas, cajas (boxplots), diagramas de dispersión (scatter plots), mapas de calor de correlación.\n- Análisis bivariado/multivariado: correlaciones, tablas cruzadas, análisis de relaciones y dependencias.\n- Detección de outliers y patrones inusuales; análisis de la distribución y sesgos.\n- Transformaciones y feature engineering preliminar: escalado, discretización, log-transformaciones, creación de variables sintéticas.\n- Comprobación de supuestos relevantes para modelos posteriores (p. ej., linealidad, homocedasticidad, independencia).\n\nSupuestos y relaciones con otros pasos\n- Supuestos: los datos representan la población de interés; los registros son fiables; las mediciones son comparables. EDA revela cuándo estos supuestos fallan.\n- Relación con modelado: EDA informa la selección de modelos, la ingeniería de variables y la necesidad de limpieza o recolección de datos adicional. Un EDA bien hecho reduce sesgos y mejora la validez de los modelos.\n\nEjemplo conceptual (pseudocódigo)\n- Cargar datos → resumen(s) → visualizar distribuciones → correlación entre variables → inspeccionar valores faltantes/outliers → transformar variables según sea necesario → definir preguntas para modelado.\n\nFuente:\nhttps://reddit.com/r/dataanalysis/comments/13h1dr4/what_is_exploratory_data_analysis_eda/"</t>
  </si>
  <si>
    <t>D</t>
  </si>
  <si>
    <t>comment_jk2x65w</t>
  </si>
  <si>
    <t>comment_nf09ff6</t>
  </si>
  <si>
    <t>comment_jkchi6w</t>
  </si>
  <si>
    <t>comment_jk3rilx</t>
  </si>
  <si>
    <t>comment_jk2vz66</t>
  </si>
  <si>
    <t>comment_jidyyfg</t>
  </si>
  <si>
    <t>comment_jidxbyt</t>
  </si>
  <si>
    <t>comment_jif31zy</t>
  </si>
  <si>
    <t>comment_jidxvoi</t>
  </si>
  <si>
    <t>comment_jif18wk</t>
  </si>
  <si>
    <t>"Definición clara\n- Overfitting (sobreajuste) ocurre cuando un modelo aprende patrones espurios o ruido del conjunto de entrenamiento y, por eso, tiene buen rendimiento en entrenamiento pero pobre rendimiento en datos nuevos (test/validación).  \n- Ejemplo sencillo: ajustar una curva que pasa exactamente por todos los puntos de entrenamiento en vez de una línea que capture la tendencia general.\n\nCómo identificarlo (signos)\n- Gran diferencia entre métricas en entrenamiento y en validación/test (por ejemplo, error de entrenamiento muy bajo y error de test alto).  \n- Modelo muy complejo respecto al tamaño y ruido del conjunto de datos (muchos parámetros/libre elección excesiva).\n\nCausas habituales\n- Modelo con demasiada complejidad (polinomios altos, árboles muy profundos, demasiadas variables/dimensiones).  \n- Datos insuficientes o ruido alto.  \n- Falta de validación adecuada (no usar test ni cross‑validation).\n\nCómo prevenirlo (técnicas prácticas)\n- Validación: usar hold-out y, preferiblemente, k‑fold cross‑validation para estimar generalización.  \n- Regularización: L1 (Lasso), L2 (Ridge) o elastic net para penalizar complejidad.  \n- Simplificar modelo: reducir grado polinómico, limitar profundidad de árboles, usar modelos lineales si procede.  \n- Selección/ingeniería de características: eliminar variables irrelevantes y crear variables más informativas.  \n- Early stopping en entrenamiento iterativo (p. ej. redes neuronales).  \n- Obtener más datos o limpiar etiquetas/ruido si es posible.  \n- Ensembles y bagging pueden reducir la varianza (ej. Random Forest) pero no sustituyen buena validación.\n\nRegla práctica\n- Prefiere el modelo más simple que ofrezca rendimiento aceptable en validación; usa curvas de aprendizaje (train vs validation) para diagnosticar si el problema es varianza (overfitting) o sesgo (underfitting).\n\nFuente\nhttps://reddit.com/r/datascience/comments/1349yti/overfitting/"</t>
  </si>
  <si>
    <t>P</t>
  </si>
  <si>
    <t>N</t>
  </si>
  <si>
    <t>Definiciones esenciales\n- Leverage (apalancamiento): mide cuánto \"está lejos\" una observación en el espacio de las covariables X. Matemáticamente es la diagonal h_ii de la matriz sombrero (hat matrix) H = X (X'X)^{-1} X'. h_ii ∈ (0,1) y su promedio es p/n (p = número de parámetros incluyendo intercepto). Observaciones con h_ii grandes son puntos con mucho apalancamiento: afectan fuertemente la predicción si su y fuera distinto.\n- Influencia: cuantifica cuánto cambia el ajuste o los parámetros del modelo al eliminar una observación. Una observación es influyente si su combinación de residual y apalancamiento altera significativamente coeficientes, predicciones o medidas de ajuste.\n\nRelación entre ambos\n- Leverage ≠ influencia. Un punto puede tener alto leverage pero pequeño residual (bien explicado por la recta) y entonces no ser influyente. Para ser influyente normalmente se necesita: alto leverage y un residual grande (o suficiente efecto combinado).\n\nFórmulas y medidas de diagnóstico (resumen)\n- Hat values: h_ii = (i-ésima diagonal de H).\n- Residual crudo: e_i = y_i − ŷ_i.\n- Studentized (externally) residual: t_i (residual ajustado con varianza sin la observación i) — útil para detectar outliers en y.\n- Cook’s distance:\n  D_i = (e_i^2 / (p·MSE)) · (h_ii / (1 − h_ii)^2)\n  interpreta el cambio global en los coeficientes al retirar i.\n- DFFITS: mide el cambio en la predicción para i al eliminar i; aproximación: DFFITS_i ≈ t_i · sqrt(h_ii/(1−h_ii)).\n- DFBETAS: para cada coeficiente j, DFBETA_{ij} = (β_j − β_j(−i)) / SE_{β_j(−i)} mide cuánto cambia β_j al quitar i.\n\nReglas prácticas (reglas de pulgar)\n- Leverage alto si h_ii &gt; 2p/n (o &gt; 3p/n en casos conservadores).\n- Cook’s D sospechoso si D_i &gt; 4/n (o &gt; 1 como criterio más estricto en muestras pequeñas).\n- DFFITS influyente si |DFFITS_i| &gt; 2·sqrt(p/n).\n- DFBETAS preocupante si |DFBETA_{ij}| &gt; 2/√n (o &gt; 1 para muestras muy pequeñas).\n(Estas son reglas heurísticas; interpretación depende del contexto y tamaño muestral.)\n\nInterpretación práctica y pasos cuando aparecen observaciones con alto leverage / influencia\n1. Investigar la observación: error de medición, entrada errónea, subgrupo diferente o punto válido extremo.\n2. Verificar si el punto cambia conclusiones (signo o significancia de coeficientes, predicciones relevantes).\n3. Considerar transformaciones (variables, ponderación), modelos robustos o informar resultados con y sin la observación (no eliminar sin justificación).\n4. Si se elimina, documentar motivo y efecto en inferencia/predicción.\n\nCómo calcularlo en R (pseudocódigo útil)\n- model &lt;- lm(y ~ x1 + x2, data=d)\n- hatvalues(model)         # h_ii\n- rstudent(model)          # residuales studentizados\n- cooks.distance(model)    # Cook's D\n- dffits(model)            # DFFITS\n- dfbetas(model)           # DFBETAS\n\nBreve ejemplo conceptual\n- Punto A: h_ii grande, residual pequeño → mucho apalancamiento pero poca influencia en coeficientes.\n- Punto B: h_ii moderado, residual grande → posible outlier en y pero no necesariamente influyente en parámetros.\n- Punto C: h_ii grande y residual grande → muy probablemente influyente (revisar y justificar acción).\n\nSource URL:\nhttps://reddit.com/r/AskStatistics/comments/1jea7l1/do_points_on_either_end_of_a_linear_regression/"</t>
  </si>
  <si>
    <t>comment_mikukls</t>
  </si>
  <si>
    <t>comment_h6ewtcm</t>
  </si>
  <si>
    <t>comment_mijiwwf</t>
  </si>
  <si>
    <t>post_1al5ye3</t>
  </si>
  <si>
    <t>comment_i8ch84b</t>
  </si>
  <si>
    <t>Exactitud factual:0 — Incorrecto: Contiene errores conceptuales graves. 1 — Parcialmente correcto. 
2 — Correcto. 3 — Correcto y riguroso</t>
  </si>
  <si>
    <t>comment_jmh67w6</t>
  </si>
  <si>
    <t>post_13x5stj</t>
  </si>
  <si>
    <t>comment_myoxesb</t>
  </si>
  <si>
    <t>comment_mwoi4o2</t>
  </si>
  <si>
    <t>Definición intuitiva\n- \"Ajustar por confusores\" en regresión significa estimar la relación entre una variable X (por ejemplo, ingreso) y un resultado Y (por ejemplo, salud) comparando observaciones que son iguales en las variables confusoras Z (por ejemplo, geografía, edad). Es decir: ¿cuál es la diferencia en Y cuando X cambia, manteniendo Z fijo?\n\nIntuición matemática y geométrica (sin fórmulas extensas)\n- En regresión lineal multivariable, cada coeficiente es un efecto \"condicional\": la pendiente de Y respecto a X cuando todas las otras covariables Z se mantienen constantes.\n- Otra forma intuitiva: la regresión usa solo la variación \"única\" de X que no está explicada por Z. Si quitas (residualizas) la parte de X que viene de Z, y haces lo mismo con Y, la pendiente de esos residuos es exactamente el coeficiente parcial de X.\n\nProcedimiento práctico (residualización)\n1) Ajusta X en función de Z: lm(X ~ Z) → guarda residuos rX = X - E[X|Z].\n2) Ajusta Y en función de Z: lm(Y ~ Z) → guarda residuos rY = Y - E[Y|Z].\n3) Regresa rY ~ rX; la pendiente es igual al coeficiente de X en la regresión Y ~ X + Z.\n- En R: coef(lm(Y ~ X + Z)) == coef(lm(resid(lm(Y ~ Z)) ~ resid(lm(X ~ Z))))\n\nQué asume y advertencias importantes\n- Para que \"ajustar\" elimine sesgo causal, todos los confusores relevantes deben estar medidos e incluidos; si falta un confusor no medido, el sesgo puede persistir.\n- No ajustes por colliders (variables afectadas por X e Y) ni, si buscas el efecto total, por mediadores: eso puede crear o esconder sesgo.\n- La interpretación como \"efecto causal\" requiere además supuestos de ignorabilidad condicional y especificación correcta (linealidad / interacciones si existen).\n- Multicolinealidad fuerte entre X y Z puede hacer imprecisos (alta varianza) los coeficientes aunque no los sesgue necesariamente.\n\nResumen corto\n- Ajustar por confusores = estimar la asociación entre X y Y manteniendo fijas las Z.\n- Equivale a comparar diferencias en Y para unidades que solo difieren en X pero son iguales en Z.\n- Útil para reducir sesgo, pero depende de medir e incluir los confusores correctos y de no ajustar variables inapropiadas.\n\nSource URL:\nhttps://reddit.com/r/AskStatistics/comments/txqzi7/how_does_regression_adjust_for_confounders_what/"</t>
  </si>
  <si>
    <t>comment_i3wz7v9</t>
  </si>
  <si>
    <t>comment_i3nxpoh</t>
  </si>
  <si>
    <t>comment_i3p55u5</t>
  </si>
  <si>
    <t>comment_i3riy0s</t>
  </si>
  <si>
    <t>comment_i3nk3gj</t>
  </si>
  <si>
    <t>Definición breve\n- Un hold-out set (conjunto de retención) es una porción de los datos que se separa y se mantiene sin tocar durante el entrenamiento y la selección de modelos. Se usa exclusivamente para evaluar el rendimiento final del modelo en datos “nunca vistos”.\n\nPor qué se utiliza\n- Proporciona una estimación imparcial del rendimiento fuera de muestra, evitando optimismos debidos al sobreajuste (overfitting).\n- Verifica que las decisiones de modelado (selección de hiperparámetros, características, etc.) generalicen a datos nuevos.\n- Sirve como referencia final para comparar modelos cuando la experimentación y validación ya terminaron.\n\nRelación con train/validation/test\n- Train: datos para ajustar parámetros del modelo.\n- Validation: datos para seleccionar hiperparámetros y tomar decisiones intermedias (o se usa CV).\n- Hold-out/Test: datos reservados para la evaluación final. A veces “hold-out” se usa como sinónimo de “test set”; lo importante es que sea mantenido intacto hasta el final.\n\nSupuestos importantes\n- Representatividad: el hold-out debe provenir de la misma distribución que los futuros datos donde se aplicará el modelo.\n- Independencia (i.i.d.) salvo en series temporales: si los datos están correlacionados en el tiempo o por grupo, hay que usar estrategias específicas (bloques temporales, agrupamiento).\n- Tamaño suficiente: debe ser lo bastante grande para estimar métricas con precisión.\n\nCómo construirlo (prácticas comunes)\n- División aleatoria simple: p. ej. 70% train / 30% hold-out, o 60/20/20 (train/validation/test).\n- Estratificación para clasificación: mantener proporciones de clases iguales en cada partición.\n- Para series temporales: reservar el tramo final temporal como hold-out (no mezclar tiempos).\n- Evitar data leakage: no usar transformaciones que miren todo el dataset (p. ej. normalizar usando media de todo el dataset). Hacer ajustes basados solo en el train y aplicar al hold-out.\n\nReglas prácticas y alternativas\n- Si hay pocos datos, usar validación cruzada para estimar rendimiento y reservar un pequeño hold-out para la evaluación final.\n- Para tareas con coste de error alto, preferir un hold-out o test set totalmente independiente (p. ej. datos recogidos en otro periodo).\n- Métricas: evaluar en el hold-out con las métricas relevantes del problema (accuracy, AUC, RMSE, MAE, F1, etc.) y reportar intervalos de confianza si es posible.\n\nEjemplo breve (R, partición aleatoria)\n- set.seed(123)\n- train_idx &lt;- sample(seq_len(nrow(df)), size = floor(0.7 * nrow(df)))\n- train &lt;- df[train_idx, ]; holdout &lt;- df[-train_idx, ]\n\nPrecauciones finales\n- No usar el hold-out para ajustar modelos. Sólo evaluar.\n- Revisar que el hold-out no esté contaminado (duplicados, fugas de variables que incorporen la etiqueta, etc.).\n\nSource URL:\nhttps://reddit.com/r/datascience/comments/kjo6qo/lack_of_hold_out_set_leads_to_state_wasting_365k/"</t>
  </si>
  <si>
    <t>comment_ggynk8v</t>
  </si>
  <si>
    <t>comment_ggyg4n3</t>
  </si>
  <si>
    <t>comment_ggyxgy9</t>
  </si>
  <si>
    <t>comment_ggy1rkq</t>
  </si>
  <si>
    <t>comment_ggzr75a</t>
  </si>
  <si>
    <t>Score de Docs</t>
  </si>
  <si>
    <t>Precisión Umbral 0.3</t>
  </si>
  <si>
    <t>Precisión Umbral 0.4</t>
  </si>
  <si>
    <t>Precisión Umbral 0.5</t>
  </si>
  <si>
    <t>Precisión</t>
  </si>
  <si>
    <t>Exactitud Conceptual</t>
  </si>
  <si>
    <t>Fidelidad de fuentes</t>
  </si>
  <si>
    <t>0-3</t>
  </si>
  <si>
    <t>Utilidad / Relevancia</t>
  </si>
  <si>
    <t>Fluidez</t>
  </si>
  <si>
    <t>0-2</t>
  </si>
  <si>
    <t>T - Ejecución</t>
  </si>
  <si>
    <t>T- RAG</t>
  </si>
  <si>
    <t xml:space="preserve">T-WEB </t>
  </si>
  <si>
    <t>Qué es\n- Heterocedasticidad: situación en la que la varianza del término de error u (u_i) no es constante a lo largo de las observaciones; es decir, Var(u_i | X_i) depende de X_i. Lo contrario (varianza constante) se llama homocedasticidad.\n\nPor qué importa en regresión lineal (CLM)\n- Estimadores de coeficientes: los estimadores OLS siguen siendo lineales e insesgados bajo heterocedasticidad (si el modelo está correctamente especificado).\n- Inferencia (SE, t, F, intervalos): los errores estándar calculados por OLS asumiendo homocedasticidad son incorrectos cuando hay heterocedasticidad, lo que vuelve inválidos los tests, p-valores y intervalos de confianza.\n- Eficiencia: OLS ya no es el estimador lineal insesgado de mínima varianza (no es eficiente). Existen estimadores más eficientes (p. ej. GLS/WLS) si se conoce (o estima) la estructura de varianza.\n- Predicción y decisiones: las incertidumbres de predicción pueden sub- o sobre-estimarse; esto afecta decisiones basadas en riesgo/intervalos.\n\nCómo detectarla (diagnóstico)\n- Gráfico residuales vs valores ajustados: un patrón sistemático (abanico, forma curva) sugiere heterocedasticidad.\n- Tests estadísticos: Breusch–Pagan, White test; tests no paramétricos y análisis visual complementan.\n- Revisar outliers o variables omitidas — a veces la heterocedasticidad indica mala especificación del modelo.\n\nRemedios prácticos\n- Errores estándar robustos (White / HC0–HC3): corrigen la inferencia sin cambiar coeficientes; uso recomendado cuando sólo preocupa la validez de tests.\n- Weighted Least Squares (WLS) / Feasible GLS: si puedes modelar cómo cambia la varianza (p. ej. Var(u_i) ∝ f(X_i)), usar pesos mejora eficiencia.\n- Transformaciones: transformar la variable dependiente (log, raíz) puede estabilizar la varianza.\n- Bootstrap: para intervalos y tests válidos sin supuestos fuertes sobre la forma de la heterocedasticidad.\n- Reespecificar el modelo: añadir variables, términos no lineales o usar modelos robustos (regresión robusta) si la heterocedasticidad viene de misspecification o outliers.\n\nEjemplo rápido en R (conceptual)\n- Diagnóstico:\n  mod &lt;- lm(y ~ x1 + x2, data = df)\n  plot(mod$fitted.values, mod$residuals^2)\n  car::ncvTest(mod)   # test de Breusch-Pagan\n- Inferencia robusta:\n  library(sandwich); library(lmtest)\n  coeftest(mod, vcov = vcovHC(mod, type = \"HC3\"))\n\nResumen pedagógico\n- Heterocedasticidad no invalida la consistencia de los coeficientes OLS, pero sí compromete la inferencia (SE, p-valores, intervalos) y la eficiencia. Detectarla y, según el objetivo (estimación puntual vs inferencia rigurosa vs predicción), aplicar correcciones adecuadas (SE robustos, WLS/GLS, transformaciones o bootstrap).\n\nSource URL:\nhttps://reddit.com/r/AskStatistics/comments/lnkzwi/linear_regression_assumptions/"</t>
  </si>
  <si>
    <t>post_rmz6x9</t>
  </si>
  <si>
    <t>comment_hlmifz6</t>
  </si>
  <si>
    <t>comment_go143q8</t>
  </si>
  <si>
    <t>comment_ia6lh2k</t>
  </si>
  <si>
    <t>comment_hllbvb0</t>
  </si>
  <si>
    <t>"Diferencia esencial\n- Correlación: mide asociación estadística entre dos variables (p. ej. r de Pearson). Indica que cuando X cambia, Y tiende a cambiar también, pero no dice por qué.\n- Causalidad: implica que cambios en X generan cambios en Y en el sentido contrafactual (si intervenimos en X, Y cambia). Requiere más que una asociación: orden temporal y control de explicaciones alternativas.\n\nPor qué la correlación no implica causalidad (resumen de riesgos)\n- Confusión: un tercer factor Z puede producir la relación X–Y.\n- Causal invertida: Y puede causar X en vez de X causar Y.\n- Omitted variable bias: omitir variables relevantes distorsiona coeficientes.\n- Errores de medida y selección muestral alteran la asociación.\n\n¿Por qué seguimos usando regresión?\n- Resumen y predicción: la regresión compacta la relación (coeficientes, R²) y permite predicción.\n- Control condicional: al incluir controles la regresión estima asociaciones condicionales (p. ej. Y ~ X + controles). Si el supuesto de independencia condicional E[ε|X, controles]=0 se cumple, el coeficiente de X puede aproximar un efecto causal.\n- Base para métodos de identificación causal: técnicas como variables instrumentales, diferencias en diferencias, regresión discontinua y diseños experimentales usan regresiones o extensiones paramétricas para estimar efectos causales bajo supuestos explícitos.\n- Interpretabilidad y sencillez: coeficientes lineales son fáciles de comunicar y revisables (diagnósticos, intervalos de confianza).\n- Flexibilidad: modelos lineales pueden ampliarse (polinomios, interacciones, modelos mixtos) y sirven como punto de partida.\n\nQué se necesita para usar regresión para inferencia causal (lista práctica)\n1. Definir claramente la estimanda causal (p. ej. efecto promedio del tratamiento).\n2. Asegurar orden temporal: la causa ocurre antes del efecto.\n3. Controlar o diseñar para eliminar confusores (experimento aleatorio, IV, DD, RDD).\n4. Verificar supuestos: independencia condicional o validez del instrumento, estabilidad de grupos, no manipulación en el umbral, etc.\n5. Realizar diagnósticos: sensibilidad a variables omitidas, pruebas de robustez, placebo checks.\n\nEjemplo conceptual (texto breve)\n- Observación: hielo y ahogamientos correlacionan positivamente.\n- Confusor: temperatura alta aumenta ambos.\n- Regresión simple (ahogamientos ~ ventas_helado) muestra correlación; añadir temp como control (ahogamientos ~ ventas_helado + temperatura) puede reducir/eliminar el coeficiente de ventas_helado, revelando que la relación no es causal.\n\nConclusión corta\nLa correlación es un diagnóstico; la causalidad exige identificación. Usamos regresión porque es útil para describir y predecir y porque, integrándola en diseños y métodos de identificación adecuados, permite estimar efectos causales con supuestos explícitos y comprobables.\n\nSource URL: https://reddit.com/r/AskStatistics/comments/i5bvcu/if_correlation_does_not_equal_causation_then_why/",</t>
  </si>
  <si>
    <t>comment_nh8tx9a</t>
  </si>
  <si>
    <t>comment_nh8une4</t>
  </si>
  <si>
    <t>comment_g0qj2yn</t>
  </si>
  <si>
    <t>comment_g0p3goo</t>
  </si>
  <si>
    <t>comment_g0oafdw</t>
  </si>
  <si>
    <t>score simiitud (distancia coseno)</t>
  </si>
  <si>
    <t>"Qué es SMOTE\n- SMOTE (Synthetic Minority Over-sampling TEchnique) es un método de sobremuestreo que genera ejemplos sintéticos de la clase minoritaria.  \n- Funcionamiento básico: para cada ejemplo minoritario, elige k vecinos minoritarios (k-NN) y crea nuevos puntos interpolando entre el ejemplo y algunos de sus vecinos (no copia exacta, sino síntesis en el espacio de características).\n\nCuándo conviene usarlo (criterios prácticos)\n- Cuando existe desbalance de clases que provoca mal rendimiento en la clase minoritaria (baja sensibilidad/recall) y quieres mejorar la representación de esa clase.  \n- Cuando las variables son principalmente continuas (la interpolación tiene sentido). Para datos mixtos (categóricos+continua) usa SMOTE-NC o variantes que manejan nominales.  \n- Si el conjunto de entrenamiento es relativamente pequeño y el submuestreo de la mayoría haría perder información útil.  \n- Si ya limpiaste ruido y outliers en la clase minoritaria; SMOTE puede amplificar ruido si hay ejemplos atípicos.  \n- Aplicar SMOTE SOLO sobre el conjunto de entrenamiento (dentro de cada pliegue en CV) para evitar fuga de información y sobreestimación del rendimiento.\n\nCuándo evitarlo o tener precaución\n- No usarlo si las clases se solapan mucho en el espacio de características (puede generar ejemplos ambiguos).  \n- Evitar en series temporales o datos con dependencia temporal salvo que respetes el orden (resampling puede romper temporalidad).  \n- En situaciones de altísimo desbalance extremo (p. ej. 1:10,000) puede no ser suficiente o introducir demasiado ruido; considerar técnicas alternativas (modelos robustos, ponderación de clases, detección de anomalías).  \n- Si hay mucho ruido en la clase minoritaria, SMOTE tiende a sintetizar ruido.\n\nVariantes y combinaciones útiles\n- Borderline-SMOTE: genera muestras cerca del borde entre clases (útil si la frontera es crítica).  \n- SMOTE-NC: para datos mixtos (numéricos + categóricos).  \n- Combine SMOTE con limpieza como Tomek links o ENN para remover ejemplos de frontera tras la síntesis.  \n- Alternativas: ajuste de pesos/clases en el algoritmo, submuestreo de la mayoría, algoritmos ensemble (e.g., BalancedRandomForest), o optimizar umbral y usar métricas adecuadas (AUC-PR, F1, recall/precision).\n\nConsejos prácticos\n- Escala/normaliza variables antes de aplicar SMOTE si el algoritmo de distancia lo requiere.  \n- Ajusta k_neighbors (por defecto 5) según densidad de la clase minoritaria.  \n- Define sampling_strategy según la proporción objetivo (p. ej. balance completo o parcial).  \n- Evalúa con métricas enfocadas en la clase minoritaria (precision, recall, AUC-PR) y con CV donde SMOTE se aplique dentro de cada pliegue.\n\nEjemplo breve (Python, imbalanced-learn)\n- from imblearn.over_sampling import SMOTE  \n  sm = SMOTE(sampling_strategy='auto', k_neighbors=5, random_state=42)  \n  X_res, y_res = sm.fit_resample(X_train, y_train)\n\nFuente utilizada (RAG):\nhttps://reddit.com/r/datascience/comments/cwa4pv/how_to_predict_donations/",</t>
  </si>
  <si>
    <t>comment_eyb4y0a</t>
  </si>
  <si>
    <t>comment_lo7w76y</t>
  </si>
  <si>
    <t>comment_lo7dmei</t>
  </si>
  <si>
    <t>comment_lobb3zc</t>
  </si>
  <si>
    <t>comment_lo6qajf</t>
  </si>
  <si>
    <t>comment_eskraxa</t>
  </si>
  <si>
    <t>comment_j6dyqxm</t>
  </si>
  <si>
    <t>comment_eslbmnh</t>
  </si>
  <si>
    <t>comment_esljygm</t>
  </si>
  <si>
    <t>comment_ehhy73l</t>
  </si>
  <si>
    <t>Definiciones y diferencias clave\n- AUC-ROC: área bajo la curva ROC (True Positive Rate vs False Positive Rate). Mide la capacidad del modelo para rankear positivos por encima de negativos; su valor 0.5 corresponde a clasificador aleatorio.\n- AUC-PR: área bajo la curva Precision–Recall (Precisión vs Recall). Enfocada en la calidad de las predicciones positivas; su referencia (baseline) depende de la prevalencia de la clase positiva (p. ej. si 1% son positivos, baseline ≈ 0.01).\n\nInterpretación práctica\n- AUC-ROC valora el trade-off entre TPR y FPR a lo largo de umbrales y es útil cuando las dos clases son de importancia comparable y las clases están relativamente balanceadas.\n- AUC-PR pone énfasis en precisión (qué fracción de los predichos positivos son correctos) y recall (qué fracción de los positivos reales se detectan); es más informativa cuando la clase positiva es rara o cuando los falsos positivos tienen costo alto.\n\nCuándo usar cada una (reglas prácticas)\n- Usa AUC-PR cuando la clase positiva es rara (alto desbalance) o cuando te importa la calidad de las predicciones positivas (fraude, diagnóstico de enfermedad, detección de defectos).\n- Usa AUC-ROC cuando las clases están balanceadas y quieres una visión global de la capacidad de ranking del modelo sin priorizar explícitamente la clase positiva.\n- En la práctica, reporta ambas si no estás seguro: AUC-ROC da visión global; AUC-PR muestra desempeño real en positivos y es más sensible a mejoras relevantes en escenarios desbalanceados.\n\nEjemplos concretos\n- Detección de fraude con 0.5% positivos: AUC-ROC puede ser alto (p. ej. 0.95) mientras que AUC-PR será bajo y reflejará que casi todos los positivos quedan diluidos entre muchos negativos — aquí AUC-PR es más útil.\n- Clasificación de imágenes con dos clases equilibradas: AUC-ROC suele ser suficiente para comparar rangos de modelos.\n\nConsejos y consideraciones\n- Ten en cuenta la prevalencia: el baseline de AUC-PR cambia con la prevalencia; compara contra ese baseline.\n- Si te interesa un punto de operación (umbral), complementa AUC con métricas puntuales: precisión, recall, F1, o precision@k.\n- Para selección de modelo en conjuntos muy desbalanceados, prioriza AUC-PR o métricas basadas en la clase positiva.\n\nFuente:\nhttps://reddit.com/r/datascience/comments/c81tc1/predicting_academic_collaboration_with_logistic/"</t>
  </si>
  <si>
    <t>Definición breve\n- CUDA (Compute Unified Device Architecture) es la plataforma y modelo de programación de NVIDIA para cómputo acelerado en GPUs. Permite escribir y ejecutar código (kernels) en la GPU para aprovechar miles de núcleos en paralelo y así acelerar operaciones intensivas en cómputo.\n\nComponentes y cómo funciona (alto nivel)\n- Modelo: SIMT (Single Instruction, Multiple Threads). El programador organiza el trabajo en threads, bloques (blocks) y grids; la GPU ejecuta muchos threads en paralelo agrupados en warps.\n- Memoria y ejecución: existe distinción host (CPU) / device (GPU). Hay que gestionar transferencia de datos (host ↔ device) y usar memorias rápidas de la GPU (shared, registers) para rendimiento.\n- Herramientas y librerías: CUDA Toolkit (compilador nvcc, profilers), y librerías optimizadas como cuBLAS (álgebra lineal), cuDNN (redes neuronales), cuFFT, Thrust, etc.\n\nPor qué es importante en Ciencias de Datos\n- Acelera entrenamientos y inferencias de modelos de ML/DL al paralelizar multiplicaciones de matrices, convoluciones y operaciones vectorizadas.\n- Frameworks populares (TensorFlow, PyTorch) usan CUDA/cuDNN para aprovechar GPUs NVIDIA sin que el usuario tenga que programar kernels en C++/CUDA.\n\nRequisitos y supuestos\n- Requiere GPU NVIDIA compatible, controladores (drivers) y versión del CUDA Toolkit coherente con la GPU y con las librerías/frameworks que uses.\n- El rendimiento real depende de minimizar transferencias CPU↔GPU y de adaptar el algoritmo al paralelismo masivo.\n\nEjemplo conceptual (pseudocódigo CUDA C)\n- Definir un kernel que procesa muchos elementos en paralelo y lanzarlo con una malla de blocks/threads:\n  __global__ void kernel(float *d_x){ int i = blockIdx.x*blockDim.x + threadIdx.x; d_x[i] = ...; }\n  // en host: lanzar kernel con grid y block adecuados, gestionar cudaMemcpy host↔device\n\nConsideraciones prácticas\n- Para problemas con alta paralelización (matrices grandes, convoluciones, transformadas) la ganancia suele ser muy grande.\n- Para tareas donde el paralelismo es bajo o la sobrecarga de copia domina, la GPU puede no ser ventajosa.\n- Mantener compatibilidad entre versión del driver, CUDA Toolkit y librerías es clave para evitar errores.\n\nFuentes\n- https://developer.nvidia.com/cuda\n- https://developer.nvidia.com/blog/what-is-cuda-2/"</t>
  </si>
  <si>
    <t>comment_n99n2n0</t>
  </si>
  <si>
    <t>comment_n998oqg</t>
  </si>
  <si>
    <t>comment_n99k9ek</t>
  </si>
  <si>
    <t>comment_n99upc4</t>
  </si>
  <si>
    <t>comment_n9a1vv2</t>
  </si>
  <si>
    <t>1) Estructura general del repositorio (ejemplo)\n- README.md (resumen ejecutivo con objetivo, dataset, hallazgos clave)\n- data/\n  - raw/ (origen inmutable)\n  - processed/ (datasets limpiados listos para análisis)\n- notebooks/\n  - 01_EDA_overview.ipynb\n  - 02_Data_cleaning.ipynb\n  - 03_Univariate_Bivariate.ipynb\n  - 04_Multivariate_FeatureEngineering.ipynb\n  - 05_Appendix_visualizations.ipynb\n- src/ (scripts reutilizables: carga, limpieza, funciones viz)\n- reports/\n  - slides.pdf o report.pdf (resumen para stakeholders)\n  - figures/ (png/svgs exportadas)\n- dashboard/ (opcional: streamlit/voila)\n- LICENSE, requirements.txt / environment.yml, data_dictionary.md\n\n2) Secciones recomendadas en cada notebook (orden lógico)\n- Portada breve: objetivo y preguntas analíticas (business/analyst questions)\n- Origen y descripción del dataset + data dictionary\n- Resumen inicial: filas, columnas, tipos, missing %, outliers por variable\n- Limpieza y transformaciones (registrar decisiones y razones)\n- Análisis univariado (distribuciones, medidas resumen, visuales clave)\n- Análisis bivariado (correlaciones, tablas de contingencia, tests si aplica)\n- Multivariante / segmentación (PCA, clustering o análisis condicional)\n- Ingeniería de variables relevantes y ejemplos de por qué ayudan\n- Hallazgos principales y conclusiones accionables (bullet points)\n- Limitaciones, supuestos y próximos pasos\n- Código reproducible para regenerar gráficas y tablas\n\n3) Checklist de calidad y reproducibilidad\n- ¿README comunica objetivo y resumen ejecutivo (&lt;200 palabras)?\n- ¿Dataset original y processed están versionados y con fuentes claras?\n- ¿El notebook corre desde cero (kernel limpio) y genera las figuras?\n- ¿Funciones repetidas están en src/ y no copiadas en cada notebook?\n- ¿Visuales con títulos, ejes etiquetados, leyendas y unidades?\n- ¿Se documentan supuestos: missingness (MCAR/MAR/MNAR), muestreo, sesgo)?\n- ¿Se incluyen métricas cuantitativas cuando aplica (p.ej., correlaciones, p-values)?\n\n4) Ejemplos de fragmentos (pseudocódigo de flujo en notebooks)\n- Carga y resumen:\n  df = load_csv('data/raw/sales.csv')\n  summary(df)  # shape, dtypes, missing%\n- Limpieza:\n  df = impute_missing(df, strategy='median', cols=['price','rating'])\n  df = drop_duplicates(df, subset=['order_id'])\n- Visual:\n  plot_hist(df['price'], bins=30, title='Distribución de precios')\n  plot_heatmap(corr(df.select_dtypes('numeric')), title='Correlaciones')\n\n5) Cómo presentar resultados en el portafolio (comunicaciones)\n- README: incluye 3 bullets de hallazgos accionables (p.ej., “Aumentar stock X en Q4 por…”) y una visual destacada.\n- Página de proyecto (GitHub/GitHub Pages): resumen, gifs/figura interactiva, enlace al notebook.\n- Slides (1–2 páginas): problema, datos, 3 insights clave, recomendaciones.\n- Dashboard interactivo (opcional): filtrar por segmento para demostrar interactividad.\n\n6) Supuestos y consideraciones metodológicas que debes declarar\n- Origen y representatividad de la muestra (posible sesgo de selección).\n- Tipos de missingness y la justificación del método de imputación.\n- Tratamiento de outliers y cómo afectan medias/varianzas.\n- Si aplicas tests estadísticos, estado de supuestos (normalidad, independencia).\n- Privacidad y licencias del dataset (si compartes datos en el repo).\n\n7) Buenas prácticas visuales y narrativas\n- Empieza con una visual “hook” (insight sorprendente) en el README.\n- Usa colores para enfatizar, no para decorar; evita 3D y excesos.\n- Cada gráfico debe tener mensaje: ¿qué dice? ¿por qué importa?\n- Incluye tablas resumidas con cifras claves (medianas, IQR, counts).\n\n8) Ejemplo breve de estructura de README (secciones)\n- Título, 1‑línea objetivo\n- Dataset (fuente, fecha, size)\n- Preguntas de interés\n- Metodología breve\n- 3 hallazgos clave + implicaciones\n- Cómo reproducir (comandos pip / conda y ejecución de notebooks)\n- Link al notebook principal y a slides\n\n9) Tips finales para evaluación por reclutadores\n- Muestra limpieza de código: funciones, docstrings y tests mínimos.\n- Prioriza claridad y hallazgos accionables sobre cantidad de gráficos.\n- Acompaña con una breve demo en video (1–3 min) si es posible.\n- Mantén notebooks bien comentados y evita outputs excesivos.\n\nFuente:\nhttps://reddit.com/r/dataanalysis/comments/13h1dr4/what_is_exploratory_data_analysis_eda/"</t>
  </si>
  <si>
    <t>comment_l5j101j</t>
  </si>
  <si>
    <t>post_13h1dr4</t>
  </si>
  <si>
    <t>comment_nh60m63</t>
  </si>
  <si>
    <t>comment_gjuwl1g</t>
  </si>
  <si>
    <t>comment_gjuw0r5</t>
  </si>
  <si>
    <t>comment_gjuo6uc</t>
  </si>
  <si>
    <t>post_l0n12q</t>
  </si>
  <si>
    <t>comment_gjunqvo</t>
  </si>
  <si>
    <t>Chequeos iniciales recomendados antes de ajustar una regresión múltiple (qué hacer, cómo comprobarlo y acciones rápidas):\n\n1) Calidad y preparación de los datos\n- Revisar valores faltantes y su patrón (tabla de missing, heatmap). Acción: imputación apropiada o excluir según mecanismo de missingness.\n- Revisar tipos de variables y codificación (categorical → dummies, ordinal vs nominal). Acción: crear dummies/contrastes adecuados.\n- Escala y outliers en predictores (boxplots, histograma). Acción: winsorizar, transformar o comprobar influencia.\n\n2) Tamaño de muestra y complejidad del modelo\n- Regla práctica: al menos ~10 observaciones por predictor (más si se requiere estabilidad). Verificar grados de libertad efectivos si se hará selección de variables. Acción: reducir predictors, usar regularización (ridge/lasso) o aumentar muestra.\n\n3) Linealidad entre cada predictor y la respuesta\n- Cómo comprobar: scatterplots (y smoothers como loess), partial residual plots (component-plus-residual).\n- Acción si falla: transformar predictor (log, sqrt), añadir polinomios o splines, modelar interacciones.\n\n4) Multicolinealidad\n- Cómo comprobar: matriz de correlaciones entre predictores, VIF (Variance Inflation Factor), condición del diseño.\n- Regla: VIF &gt; 5–10 indica problema. Acción: eliminar/combinar variables, PCA, o usar regularización (ridge).\n\n5) Independencia de errores\n- Cómo comprobar: si datos temporales/espaciales → Durbin–Watson, inspección de residuos por orden temporal o mapas espaciales.\n- Acción: modelar autocorrelación (AR terms), diferencias, o modelos de series temporales/mixed models.\n\n6) Homocedasticidad (varianza constante de residuos)\n- Cómo comprobar: gráfico residuos vs valores ajustados, pruebas formales (Breusch–Pagan / White).\n- Acción si falla: usar transformaciones de y, modelos de varianza heterocedástica (weighted least squares), o estimadores de varianza robusta (HCSE).\n\n7) Normalidad de residuos (para inferencia y intervalos)\n- Cómo comprobar: QQ-plot de residuos, Shapiro–Wilk (tener cuidado en muestras grandes).\n- Nota: la normalidad estricta es menos crítica con n grande (CLT). Acción: transformaciones o bootstrap para intervalos/p-valores si es necesario.\n\n8) Outliers, leverage e influencia\n- Cómo comprobar: Cook’s distance, leverage (hat values), DFBETAS, casewise diagnostics.\n- Acción: investigar casos, confirmar si son errores, robust regression o excluir reportando justificación.\n\n9) Especificación del modelo y selección de variables\n- Comprobar variables omitidas y forma funcional (RESET test, inspección de residuos).\n- Evitar stepwise automático que inflaciona errores de inferencia; preferir selección basada en teoría, validación cruzada, o penalizaciones (AIC/BIC útiles para comparación, pero usar con criterio).\n- Considerar regularización (ridge/lasso) cuando hay many predictors o multicolinealidad.\n\n10) Documentación y diagnóstico final\n- Guardar gráficos y métricas (R^2 ajustado, AIC/BIC, VIF, pruebas) y justificar transformaciones/selecciones.\n- Validación: división train/test o cross-validation para evaluar generalización.\n\nEjemplo breve de checks en R (conceptual):\n- plot(lm_model, which=c(1,2,4))  # resid vs fitted, QQ, Cook's\n- car::vif(lm_model)\n- lmtest::bptest(lm_model)\n- car::durbinWatsonTest(lm_model)\n\nResumen: cubre calidad de los datos, tamaño/multicolinealidad, supuestos de linealidad/independencia/homoscedasticidad/normalidad, e influencia. Preferir inspección visual complementada con pruebas y, ante violaciones, usar transformaciones, modelos robustos o regularización según el caso.\n\nSource URL:\nhttps://reddit.com/r/AskStatistics/comments/l0n12q/multiple_regression_initial_checks_sufficient/"</t>
  </si>
  <si>
    <t>"Pasos prácticos para detectar y diagnosticar outliers en un set de regresión"</t>
  </si>
  <si>
    <t>1) Preparación y EDA (exploratory data analysis)\n- Revisar datos crudos: detecta errores de ingreso, valores faltantes o codificaciones extrañas.\n- Visualizaciones univariadas y bivariadas: histogramas, boxplots por variable, scatter plots de y vs cada X, matriz de pares.\n- Revisar correlaciones y VIFs para multicolinealidad (puede crear puntos “extremos” en espacio de X).\n\n2) Ajusta el modelo base y grafica residuos\n- Gráfica residuos vs fitted: busca patrones (no debe mostrar tendencia sistemática).\n- QQ-plot de residuos: evaluar normalidad de errores.\n- Residuals vs cada predictor: detectar no linealidades o heterocedasticidad.\n\n3) Estadísticos estándar de detección\n- Residuales estandarizados (rstandard): |r| &gt; 2 (o &gt;3) sugiere outlier en y.\n- Residuales studentizados (rstudent): preferible cuando buscas outliers en y con mayor exactitud.\n- Valores de leverage (hat values, hi): regla común hi &gt; 2*(p+1)/n (p = #predictores) indica observación con alto leverage en X.\n- Cook’s distance (D): D &gt; 4/n ó reglas más conservadoras; identifica casos que influyen en los parámetros globales.\n- DFBETAS: impacto en cada coeficiente; |DFBETAS| &gt; 2/sqrt(n) indica influencia significativa en ese coeficiente.\n- DFFITS: |DFFITS| &gt; 2*sqrt((p+1)/n) sugiere influencia en predicción.\n\n4) Diagnóstico combinado\n- Cruza criterios: puntos con alto leverage + grandes residuals + Cook’s D alto son los más preocupantes (influential).\n- Usa influence.measures() o influenceDFBETAS/influence() para resumen.\n- Plots útiles: influencePlot (paquete car) muestra leverage, énfasis residual y Cook’s D; added-variable (partial regression) plots para ver efecto de una X controlando por otras.\n\n5) Interpretación práctica: ¿por qué es outlier?\n- Error de medición/entrada: corregir o eliminar si justificado.\n- Observación válida pero fuera de la población objetivo: documentar y justificar exclusión.\n- Model misspecification: considera variables omitidas, interacciones o transformaciones (log, sqrt, polinomios).\n- Heterocedasticidad: puede producir residuos grandes; testar con Breusch-Pagan/White y usar errores estándar robustos o weighted least squares.\n\n6) Remedios y alternativas\n- Transformaciones de variables (Box–Cox, log) para estabilizar varianza o linealizar relaciones.\n- Regresión robusta (M-estimators, rlm en R) que reduce peso de outliers.\n- Weighted Least Squares si varianza no es constante y su patrón es estimable.\n- Re-estimar y comparar: realiza análisis de sensibilidad (coefs, intervalos, R2) con y sin puntos problemáticos y reporta resultados.\n- Bootstrap para inferencia cuando la distribución de errores es incierta.\n\n7) Ejemplos de comandos R (breves)\n- Diagnóstico básico:\n  model &lt;- lm(y ~ x1 + x2, data=df)\n  plot(model, which=c(1,2)) # resid vs fitted, qq-plot\n  hat &lt;- hatvalues(model); cook &lt;- cooks.distance(model)\n  rstd &lt;- rstandard(model); rstu &lt;- rstudent(model)\n- DFBETAS, influence:\n  dfb &lt;- dfbetas(model)\n  library(car); influencePlot(model)\n\n8) Reglas de decisión y reporte\n- No elimines observaciones automáticamente: documenta por qué (error, no representativa, o análisis alternativo).\n- Reporta análisis principal y análisis de sensibilidad (ej., resultados con/ sin puntos influyentes y con métodos robustos).\n- Discute impacto en inferencia y en la aplicabilidad del modelo.\n\nFuente utilizada:\nhttps://reddit.com/r/AskStatistics/comments/uycp6w/what_to_do_in_case_of_hetroscadicity_in_multiple/"</t>
  </si>
  <si>
    <t>comment_iacz6o4</t>
  </si>
  <si>
    <t>comment_ia3hn7z</t>
  </si>
  <si>
    <t>comment_nkzxxmy</t>
  </si>
  <si>
    <t>comment_nl0ctjn</t>
  </si>
  <si>
    <t>Secuencia segura (pasos numerados que puedes aplicar como checklist):\n\n1) EDA exploratoria no invasiva sobre todo el dataset (solo para entender la data):\n   - Revisar tipos, conteos, valores faltantes, outliers, distribuciones marginales, cardinalidad, correlaciones básicas.\n   - Buscar patrones temporales o grupos que definan la estrategia de split (por ejemplo, time split, group split).\n   - Evita cálculos que usen la variable objetivo o agregados globales que luego se usen como features.\n\n2) Definir la estrategia de partición según el problema:\n   - Si hay dependencia temporal → split por tiempo (train: hasta T, test: después de T).\n   - Si hay grupos (usuarios, clientes, dispositivos) → group split para evitar fugas por entidad.\n   - Si no hay estructura → split aleatorio estratificado si la clase es desbalanceada.\n\n3) Realizar train/validation/test split (o train + nested CV + holdout):\n   - Separar holdout (test final) y no tocarlo hasta la evaluación final.\n   - Dentro del training set puedes crear folds para CV y/o un validation set.\n\n4) EDA y decisiones de modelado estrictamente dentro del training set:\n   - Feature selection: si haces selección automática (p. ej. selección por importancia), debe realizarse dentro de cada fold en CV o usando solo el training set; no usar el test/holdout.\n   - Imputación de NAs: ajustar (fit) el imputador en train y aplicar (transform) en val/test.\n   - Escalado/normalización: calcular media/desviación o parámetros del scaler en train y aplicar en val/test.\n   - Codificación de categorías: aprender mapping/estadísticas (p. ej. One-Hot, ordinal, target-encoding) solo en train; para target-encoding usar técnicas que eviten leakage (k-fold target encoding o smoothing con out-of-fold).\n   - Transformaciones basadas en la distribución (PCA, selección por ANOVA): ajustar en train y aplicar transformaciones en val/test.\n\n5) Cross-validation y tuning:\n   - Hacer tuning/hyperparameter search solo usando folds del training set (posible nested CV para estimación honesta).\n   - Cada pipeline en CV debe incluir todos los pasos (imputación, codificación, scaling, selección) ejecutados únicamente con los datos del fold de entrenamiento para esa iteración.\n\n6) Evaluación final:\n   - Una vez elegido el pipeline y parámetros, reentrenar en todo el training set (o con CV stacking si aplica) y evaluar solo una vez en el holdout/test reservado.\n   - Reportar métricas en test y, si es necesario, intervalos/variabilidad del CV.\n\n7) Casos y advertencias comunes:\n   - Target leakage: eliminar features que usan información futura o derivada del target (p. ej. “monto_total_post_compra”).\n   - Agregados globales tipo “promedio por usuario” deben computarse en train o usando roll-ups que no incluyan el ejemplo evaluado (usar out-of-fold).\n   - Feature engineering temporal: construir features que dependan del pasado solo con información disponible hasta el momento de la predicción.\n\nEjemplo breve de pseudocódigo (pipeline conceptual):\n   1. Split dataset → train, test (por tiempo/grupo/aleatorio)\n   2. Dentro de train: crear CV folds\n   3. Para cada fold:\n       - fit_imputer(train_fold) → transform(train_fold, val_fold)\n       - fit_encoder(train_fold) → transform(val_fold)\n       - fit_scaler(train_fold) → transform(val_fold)\n       - fit_model(train_fold) → evaluar en val_fold\n   4. Seleccionar parámetros, reentrenar en todo train\n   5. Transformar test con objetos aprendidos en train → evaluar final\n\nChecklist rápido para evitar leakage:\n   - ¿Alguna estadística fue calculada usando test o todo el dataset? → NO.\n   - ¿Algún feature usa información futura del target? → NO.\n   - ¿La validación refleja la distribución/estructura real de producción? → SÍ.\n\nFuente utilizada (discusiones prácticas y recomendaciones sobre EDA y split):  \nhttps://reddit.com/r/datascience/comments/123s4vh/eda_before_or_after_traintest_split/"</t>
  </si>
  <si>
    <t>comment_jdzks5i</t>
  </si>
  <si>
    <t>comment_g27qqhq</t>
  </si>
  <si>
    <t>comment_jdxl4do</t>
  </si>
  <si>
    <t>post_123s4vh</t>
  </si>
  <si>
    <t>comment_jdw58by</t>
  </si>
  <si>
    <t>Resumen conceptual rápido\n- Por qué elegir transformaciones: mejorar linealidad entre X y y, estabilizar varianza (heteroscedasticidad), normalizar residuos, reducir sesgo y/o facilitar interpretabilidad.\n- Principio clave: las transformaciones son parte del pipeline de entrenamiento; deben ajustarse solo con datos de entrenamiento de cada fold para evitar data leakage.\n- Estrategia general: proponer candidatos basados en EDA, formalizar la elección como búsqueda de hiperparámetros, validar con CV (preferiblemente nested CV) y confirmar con un holdout final.\n\nPasos prácticos (checklist)\n1) EDA inicial (no invasivo): sobre todo el dataset identifica sesgos, colas, outliers y relaciones no lineales. Esto te da candidatos razonables (log, sqrt, polinomios, splines, Box–Cox/Yeo–Johnson).\n2) Definir transformaciones candidatas por variable:\n   - Numéricas: identidad, log(x+ε), sqrt, x^p (polinomios pequeños), Box–Cox (x&gt;0), Yeo–Johnson (permite ≤0), splines (p. ej. bs), interactions.\n   - Categóricas: one-hot, ordinal, frequency, target-encoding (solo con cuidado — ver más abajo).\n   - Target (y): considerar log/Box–Cox para estabilizar varianza; siempre aplicar/invertir fuera del pipeline de evaluación cuando corresponda.\n3) Implementar pipeline reproducible:\n   - Usa un pipeline que incluya: imputación → transformación por columnas (ColumnTransformer) → escalado/regularización → modelo.\n   - Trata cada opción de transformación como un hiperparámetro (por variable o por grupos de variables).\n4) Validación robusta:\n   - Nested CV ideal: inner loop para búsqueda/tuning de transformaciones + hyperparámetros; outer loop para estimar rendimiento generalizable.\n   - Si no hay nested CV por costo, usa CV con un holdout final (test) que no tocas hasta el final.\n   - En cada fold: fit(transformers) solo con datos de train_fold → transform(val_fold).\n5) Búsqueda de la mejor transformación:\n   - Grid/Random search o Bayesian optimization sobre combinaciones de transformaciones.\n   - Métrica de evaluación: elige la que importe al problema (RMSE/MAE para regresión continua; R^2 complementario).\n   - Penaliza complejidad: prefiere transformaciones simples si rendimiento similar (principio de parsimonia).\n6) Diagnóstico posterior:\n   - Analiza residuos: relación residuals vs predictores, QQ-plot, heteroscedasticidad. Si persiste patrón, prueba otra familia de transformaciones (splines, interacciones).\n   - Comprueba estabilidad: performance consistente entre folds y en el holdout.\n7) Precauciones y casos especiales:\n   - Evita target-leakage: NO uses estadísticas que dependan del target calculadas sobre todo el dataset (p. ej. mean encodings globales). Para target-encoding usa esquema out-of-fold o smoothing validado dentro de CV.\n   - Transformaciones basadas en agregados por grupo (p. ej. promedio por usuario) deben calcularse con datos de train o usando out-of-fold para cada observación.\n   - Si usas transformaciones de y (ej. log y), evalúa métricas en la escala original o reporta ambas (transformada e inversa).\n8) Alternativa práctica: “overcomplete” + regularización\n   - Incluye varias transformaciones de la misma variable (x, log(x), x^2, spline) dentro del pipeline y usa regresión regularizada (L1/L2/ElasticNet). El modelo puede seleccionar/comprimir términos útiles; igualmente valida la estrategia con CV.\n\nEjemplo conceptual (pseudocódigo)\n- Split data → outer_folds (p. ej. 5)\n- Para cada outer_fold:\n    - train_outer, test_outer\n    - Dentro: inner_search sobre train_outer:\n        - pipeline: ColumnTransformer({num_vars: choice([identity, log, yeojohnson, poly2, spline]), cat_vars: choice([onehot, freq, target_enc_oof])}) -&gt; scaler -&gt; model(Lasso/RandomForest)\n        - CV interno para evaluar cada combinación (ajusta transformadores solo con folds de entrenamiento internos)\n    - Seleccionar mejor pipeline → reentrenar en todo train_outer → evaluar en test_outer\n- Resultados agregados y selección final; reentrenar mejor pipeline en todo training y evaluar en holdout final.\n\nCriterios prácticos para elegir la transformación final\n- Mejora significativa en la métrica de validación (p. ej. reducción sustantiva de RMSE).\n- Residuales sin patrón (linealidad aceptable y homocedasticidad razonable).\n- Estabilidad entre folds (baja varianza del rendimiento).\n- Interpretabilidad y costo computacional aceptables.\n\nNotas finales y recomendaciones rápidas\n- Trata transformaciones como hiperparámetros; usa nested CV si quieres estimaciones honestas.\n- Para target-encoding y agregados, usa out-of-fold para evitar leakage.\n- Prefiere transformaciones simples primero; si fallan, prueba splines o polinomios y valida rigurosamente.\n- Si el objetivo es predictivo más que inferencial, la estrategia “añadir varias transformaciones + regularización” suele ser práctica y robusta.\n\nFuente:\nhttps://reddit.com/r/datascience/comments/1460ek4/how_do_you_find_the_best_transformations_linear/</t>
  </si>
  <si>
    <t>comment_jnovtyq</t>
  </si>
  <si>
    <t>comment_jnrludq</t>
  </si>
  <si>
    <t>comment_jnnvglk</t>
  </si>
  <si>
    <t>comment_jnnqvqo</t>
  </si>
  <si>
    <t>comment_jnpolhs</t>
  </si>
  <si>
    <t>comment_hwxejqk</t>
  </si>
  <si>
    <t>comment_llsilez</t>
  </si>
  <si>
    <t>comment_fl99z8f</t>
  </si>
  <si>
    <t>1) Principios clave (resumen rápido)\n- Siempre dividir datos antes de crear características dependientes del target (evitar target leakage).\n- Escalar las variables antes de aplicar regularización (L1/L2) porque la penalización depende de la magnitud de los coeficientes.\n- Usar regularización para controlar sobreajuste cuando el número de features crece por ingeniería (polinomios, interacciones, encoding).\n\n2) Estrategias de feature engineering útiles para modelos lineales\n- Transformaciones univariadas: log, raíz, Box–Cox para simetrizar o linealizar relaciones.\n- Interacciones y polinomios (grado bajo, p.ej. 2): capturan no linealidad sin dejar el marco lineal.\n- Codificación de categóricas: one-hot para pocas categorías; target/mean-encoding con CV folds para muchas categorías (evitar leakage).\n- Agregaciones/fechas: extracción de componentes temporales; agregados por grupo (media previa, conteos).\n- Dimensionalidad: PCA o selección basada en información si las features son demasiado numerosas.\n\n3) Elección de regularizador y cuándo usarlo\n- Ridge (L2): útil con muchas features correlacionadas; “encoge” coeficientes pero no los hace cero.\n- Lasso (L1): realiza selección automática, útil si se espera sparsity (pocas variables relevantes).\n- Elastic Net: mezcla L1+L2, recomendable cuando hay grupos de variables correlacionadas y se quiere selección estable.\n- Selección de lambda/alpha por CV (preferiblemente nested CV para estimar rendimiento real).\n\n4) Pipeline práctico (pseudocódigo conceptual)\n- scikit-learn style:\n  - Split train/test\n  - Preprocessor = ColumnTransformer([numeric: SimpleImputer -&gt; StandardScaler -&gt; PolynomialFeatures(degree=2, interaction_only=False),\n                                     categorical: OneHotEncoder or CV-target-encoder])\n  - model = ElasticNetCV(l1_ratio=[0.1,0.5,0.9], alphas=logspace(...), cv=5)\n  - pipeline = Pipeline([preprocessor, model])\n  - pipeline.fit(X_train, y_train); evaluar en X_test\n- En R: usar recipes para preparar features y glmnet (cv.glmnet) para elegir lambda; estandarizar dentro del recipe.\n\n5) Validación y diagnóstico\n- Usar cross-validation para seleccionar hiperparámetros y evitar overfitting al pipeline completo.\n- Ver curvas de aprendizaje para distinguir sesgo/varianza.\n- Revisar coeficientes (y su estabilidad con bootstrap) y métricas en test set.\n- Si hay multicolinealidad severa o muchas features correlacionadas, considerar PCR/PLS antes de regresión regularizada.\n\n6) Buenas prácticas y advertencias\n- Nunca hacer target encoding o scaling global antes del split sin procedimiento CV-encapsulado.\n- Evitar polinomios de grado alto; generan colinealidad y overfitting.\n- Interpretabilidad: Lasso ayuda, pero en presencia de correlación las selecciones pueden ser inestables; usar estabilidad-selection o coeficientes promediados.\n\nEjemplo conciso en scikit-learn (pseudo):\n- from sklearn.pipeline import Pipeline\n- pre = ColumnTransformer([...])\n- model = ElasticNetCV(l1_ratio=[.2,.5,.8], n_alphas=100, cv=5)\n- pipe = Pipeline([('pre', pre), ('model', model)])\n- pipe.fit(X_train, y_train); y_pred = pipe.predict(X_test)\n\nFuente utilizada:\nhttps://reddit.com/r/datascience/comments/15cskh6/how_to_improve_linear_regression_model_performance/",</t>
  </si>
  <si>
    <t>comment_jtz45nf</t>
  </si>
  <si>
    <t>comment_hwx3gnu</t>
  </si>
  <si>
    <t>comment_mv1yjke</t>
  </si>
  <si>
    <t>Checklist práctico y pasos recomendados para una comparación justa entre Logistic Regression, Random Forest y XGBoost:\n\n1) Definir objetivo y métricas\n   - Selecciona 1–3 métricas principales (ej. AUC-ROC, PR-AUC para clases desbalanceadas, F1 o recall si importa la captura de positivos, Brier score para calibración).\n   - Define umbrales y coste de errores si aplican (cost-sensitive).\n\n2) División de datos\n   - Reserva un test set final (hold-out) que no se tocan hasta la evaluación final.\n   - Si hay dependencia temporal, usa particionado temporal; si no, usa particionado aleatorio estratificado para clasificación.\n\n3) Preprocesado reproducible y sin fuga\n   - Implementa un pipeline que incluya imputación, encoding, normalización, feature engineering.\n   - Aplica el pipeline dentro de cada fold (fit solo con datos de entrenamiento del fold).\n\n4) Búsqueda de hiperparámetros: nested CV (evita optimismo)\n   - Emplea validación anidada: outer folds para estimar desempeño, inner folds para ajustar hiperparámetros.\n   - Mantén el mismo método de búsqueda (grid/random/Bayes), mismo número de evaluaciones/tiempo por modelo para ser equitativo.\n   - Usa semillas para reproducibilidad.\n\n   Pseudocódigo (esquemático):\n   - split data -&gt; holdout_test\n   - outer CV folds:\n       - train_outer, val_outer\n       - inner CV sobre train_outer para tuning (mismo presupuesto para cada modelo)\n       - fit modelo con mejores hiperparámetros en train_outer\n       - evaluar en val_outer (guardar métricas)\n   - reportar distribución de métricas across outer folds; evaluar el mejor modelo final en holdout_test\n\n5) Manejo de clases desequilibradas\n   - Realizar resampling (SMOTE, undersampling), penalización de clase o ajuste de thresholds DENTRO de cada fold (no antes).\n   - Comparar modelos con y sin técnicas de balanceo si relevante.\n\n6) Calibración de probabilidades\n   - Algunos modelos (logistic ya calibrado por definición) otros no (RF/XGB). Evalúa y aplica calibración (Platt / isotonic) en una capa posterior dentro de CV y compara Brier score / reliability diagrams.\n\n7) Comparación estadística y de incertidumbre\n   - Reporta media + desviación/IC (bootstrap de folds o t-test emparejado sobre folds si suposiciones válidas).\n   - Alternativas no paramétricas: permutation test o Wilcoxon signed-rank para métricas emparejadas.\n   - Para clasificación de etiquetas individuales: McNemar test para comparar tasas de error emparejadas.\n\n8) Métricas extra y consideraciones prácticas\n   - Latencia / tiempo de entrenamiento / memoria.\n   - Interpretabilidad (coeficientes, SHAP, feature importance) y facilidad de mantenimiento.\n   - Robustez a cambios de datos (pruebas out-of-distribution).\n\n9) Reporte final (transparente)\n   - Tabla con: métricas centrales ± IC, tiempo de entrenamiento/inferencia, calibración, nota sobre preprocesado y búsqueda de hiperparámetros.\n   - Visualizaciones: curvas ROC/PR con bandas de incertidumbre, boxplots de métricas por fold, reliability plots.\n\n10) Reglas prácticas rápidas\n   - Usa stratified repeated CV (p. ej. 5x2 o 5 repeats) si no usas nested CV para mayor estabilidad.\n   - Mantén el mismo budget de tuning por modelo.\n   - Nunca uses el test hold-out para elegir hiperparámetros.\n\nFuente: discusión sobre buenas prácticas y recomendaciones prácticos en la comparación de modelos (ejemplo de hilo técnico).  \nhttps://reddit.com/r/datascience/comments/yj9u1l/logistic_regression_v_random_forest_v_xgboost/",</t>
  </si>
  <si>
    <t>comment_iumw2wl</t>
  </si>
  <si>
    <t>post_yj9u1l</t>
  </si>
  <si>
    <t>comment_iuon0xd</t>
  </si>
  <si>
    <t>comment_iupgxf7</t>
  </si>
  <si>
    <t>comment_jlq6ak1</t>
  </si>
  <si>
    <t>"Resumen práctico y procedimiento paso a paso para elegir la longitud óptima de ventana en una rolling regression:\n\n1) Definir el objetivo\n- Predicción (forecasting): optimiza error fuera de muestra (RMSE, MAE, MAPE, etc.).\n- Seguimiento de coeficientes / detección de cambio: prioriza capacidad de adaptación y estabilidad de estimadores.\n\n2) Regla mínima de tamaño\n- Ventana mínima ≥ número de parámetros a estimar + 1. En la práctica, use al menos 5–10 veces el número de regresores para evitar estimaciones muy ruidosas.\n\n3) Diseñar la búsqueda (grid)\n- Construya una lista de candidatos: e.g., {w1, w2, ...} en progresión lineal o geométrica (p. ej. 50, 75, 100, 150, 250).\n- Incluya ventanas cortas y largas para explorar el trade‑off.\n\n4) Validación temporal: walk‑forward (rolling origin) — método recomendado\n- Para cada candidato w:\n  - Haga un ciclo desde el inicio del periodo de validación:\n    - Ajuste el modelo usando los datos [t − w + 1, t] (ventana móvil).\n    - Prediga para t + h (horizonte de interés).\n    - Acumule el error de predicción.\n  - Calcule la métrica promedio de error OOS para ese w.\n- Seleccione el w que minimice la métrica en la validación y confirme en un holdout final.\n\nBreve pseudocódigo conceptual:\n- for w in windows:\n    errors = []\n    for t in range(train_start + w - 1, val_end - h):\n        fit_model(data[t-w+1 : t])\n        y_hat = predict(horizon=h)\n        errors.append(metric(y_true, y_hat))\n    score[w] = mean(errors)\n- best_w = argmin_w score[w]\n\n5) Alternativas y complementos\n- Cross‑validation para series: use blocked or time‑series CV (no aleatorización temporal).\n- Evaluar estabilidad de coeficientes: plot de coeficientes por w; si coeficientes fluctúan mucho con ventanas pequeñas, puede preferir una ventana más larga o regularización (Ridge/Lasso).\n- Detección de rupturas estructurales / cambio de régimen: si hay saltos, ventanas cortas o detección de breakpoints (e.g., Bai–Perron) son útiles.\n- Penalización por complejidad: si múltiples w tienen errores similares, elegir el más simple/estable.\n\n6) Buenas prácticas finales\n- Use una validación anidada si es posible (evitar sobreajustar el tamaño de ventana).\n- Reserve un holdout final no tocado para evaluar la configuración seleccionada.\n- Haga un análisis de sensibilidad: si el error cambia poco alrededor del óptimo, prefiera la ventana más estable.\n- Considere combinar modelos con diferentes ventanas (ensemble) para mejorar robustez.\n\nMétricas recomendadas: RMSE/MAE para error puntual; si interesa incertidumbre, use CRPS o intervalos de predicción.\n\nFuente:\nhttps://reddit.com/r/AskStatistics/comments/imthsy/rolling_regression_for_time_series_forecasting_is/"</t>
  </si>
  <si>
    <t>comment_g43kooj</t>
  </si>
  <si>
    <t>comment_g46skb7</t>
  </si>
  <si>
    <t>post_imthsy</t>
  </si>
  <si>
    <t>comment_g430e4n</t>
  </si>
  <si>
    <t>comment_g432hij</t>
  </si>
  <si>
    <t>Uso de las fuentes: 0 — No usa fuentes
1 — Débil / implícito
2 — Uso moderado
3 — Uso correcto y explícito</t>
  </si>
  <si>
    <t>comment_k768wes</t>
  </si>
  <si>
    <t>comment_iklv3x1</t>
  </si>
  <si>
    <t>comment_fqq6r1l</t>
  </si>
  <si>
    <t>comment_iknsajs</t>
  </si>
  <si>
    <t>comment_lygxaku</t>
  </si>
  <si>
    <t>"Resumen práctico (pasos y componentes):\n1) Estructura del proyecto\n   - Ejemplo de layout:\n     - src/ (código reproducible: ingestion, features, train, eval)\n     - data/ (raw/, processed/)\n     - models/ (artefactos versionados)\n     - notebooks/ (solo para exploración, no para producción)\n     - pipelines/ (definiciones de DAG)\n     - tests/, infra/, configs/\n2) Control de versiones\n   - Código: Git (branching, PRs, reviews).\n   - Datos: DVC (o Git LFS / Delta Lake / snapshots en S3). Flujo básico: dvc init; dvc add data/raw.csv; git add data.dvc; git commit.\n   - Modelos/artefactos: almacenar en artefact store (S3, GCS, artifacts repo) y registrar versiones en model registry (p. ej. MLflow Registry).\n3) Tracking de experimentos\n   - Registrar métricas, parámetros y artefactos con MLflow o Weights &amp; Biases. Permite reproducir experimentos y comparar runs.\n   - Guardar el config/params.yaml usado en cada ejecución.\n4) Pipeline reproducible y orquestación\n   - Definir pasos idempotentes: ingest → validate → preprocess → feature eng → split → train → eval → register.\n   - Orquestadores: Airflow / Prefect / Dagster / Kedro; o scripts reproducibles con dvc repro para dependencia entre etapas.\n   - Ejemplo conceptual (pseudocódigo):\n     - ingest.py -&gt; outputs data/raw.csv\n     - validate.py checks with Great Expectations -&gt; fail early\n     - preprocess.py -&gt; data/processed.parquet\n     - train.py (usa seed fijo y env reproducible) -&gt; models/&lt;hash&gt;.pkl\n     - register.py -&gt; MLflow register model\n5) Reproducibilidad de entorno\n   - Declarar dependencias: requirements.txt / Pipfile / poetry.lock o environment.yml.\n   - Reproducir en contenedores: Dockerfile que fije versión de Python y librerías. Taggar imagen con SHA.\n6) Buenas prácticas para datos\n   - Mantener raw inmutable; aplicar transforms versionadas.\n   - Usar hashing o fingerprints para detectar cambios (p. ej. dvc status).\n   - Validaciones automáticas de esquema y rangos (Great Expectations).\n7) Versionado de modelos y despliegue\n   - Registrar modelo con metadata (dataset_hash, params, metrics, code_commit).\n   - Usar model registry para promover modelos (staging → production).\n   - Empaquetar endpoint en contenedor o serverless function; CI/CD para despliegue automático de modelos aprobados.\n8) CI/CD y tests\n   - Tests unitarios y de integración para cada etapa (incluyendo tests de datos con muestras).\n   - Pipeline CI (GitHub Actions/GitLab CI): al push ejecutar linters, tests, reproducir pipeline parcial y registrar artifacts.\n9) Monitorización y gobernanza\n   - Monitorizar predicciones, distribución de features y métricas de performance (drift/alertas).\n   - Mantener lineage: qué versión de datos y código generó cada modelo (metadata en MLflow/DVC).\n10) Ejemplo mínimo de comandos (flujo)\n   - git init; dvc init\n   - dvc add data/raw.csv; git add data.dvc &amp;&amp; git commit -m \"add raw data snapshot\"\n   - python src/train.py --config configs/train.yaml  (el script registra en MLflow)\n   - dvc repro  # si defines etapas DVC\n   - mlflow models serve -m \"models:/MyModel/1\"  # ejemplo de servir modelo versionado\n11) Consideraciones prácticas y supuestos\n   - Escala: soluciones varían si trabajas local (DVC+S3+MLflow) vs. plataforma cloud (SageMaker, Vertex AI).\n   - Seguridad y privacidad: versionar datos sensibles requiere enmascaramiento/anonimización y controles de acceso.\n   - Equipo: acordar convenciones de versionado y registro (nombres, tags, semver).\nChecklist rápido antes de desplegar\n   - ¿Datos raw inmuebles y versionados? ¿Schema checks automáticos?\n   - ¿Experimentos registrados con params y seed fijo?\n   - ¿Modelo registrado con metadata (dataset_hash, commit_sha, metrics)?\n   - ¿Pipeline orquestado y reproducible (dvc repro / DAG)? ¿Tests y CI ejecutan pasos clave?\nReferencia utilizada:\nhttps://reddit.com/r/datascience/comments/gk9ggo/how_do_you_organise_your_data_science_projects/"</t>
  </si>
  <si>
    <t>comment_n2trfge</t>
  </si>
  <si>
    <t>post_bw2i8a</t>
  </si>
  <si>
    <t>post_17kfjr0</t>
  </si>
  <si>
    <t>comment_jovlk5m</t>
  </si>
  <si>
    <t>comment_n2qolr8</t>
  </si>
  <si>
    <t>"Resumen del enfoque: primero construyes un modelo predictivo representativo (baseline), luego calculas importancias (permutación y/o SHAP) de forma estable (CV o repetición), gestionas correlación y sesgos, y terminas validando el subconjunto seleccionado comparando métricas fuera de muestra.\n\n1) Preparación\n- Definir objetivo (predicción/explicación) y métrica (ej. RMSE, AUC).  \n- Limpiar datos, crear folds coherentes (si es time-series, usar time-split).  \n- Codificar variables y escalar si el modelo lo requiere.  \n- Separar datos en train/validation/test (importante para no filtrar con información del test).\n\n2) Entrenar un modelo baseline representativo\n- Elige un modelo que capture la señal (ej. LightGBM/XGBoost/RandomForest para tabular).  \n- Ajusta hiperparámetros básicos o usa validación anidada si puedes.  \n- Guarda el rendimiento baseline en validation/test.\n\n3) Permutation Importance (importancia por permutación)\n- Idea: medir cuánto empeora la métrica al permutar una variable (romper su relación con la target).\n- Pasos prácticos:\n  a) Sobre el conjunto de validación (o usando CV), calcula la métrica del modelo original.  \n  b) Para cada variable j: permuta aleatoriamente sus valores, predice y calcula la métrica. La pérdida de rendimiento = importancia_j.  \n  c) Repite permutaciones varias veces y promedia/usa intervalo para estabilidad.  \n  d) Ordena variables por la caída promedio de la métrica.  \n- Ventajas: directo, mide efecto en la métrica.  \n- Cuidados: variables correlacionadas pueden “compartir” importancia (permutar una no afecta si la señal está en otra correlacionada). Para series temporales o agrupaciones usa permutación por grupos (grouped permutation).\n\nPseudocódigo (scikit-learn style):\n- obtener metric_base = metric(y_true, model.predict(X_val))\n- for feature in features:\n    for repeat in 1..R:\n      Xp = X_val.copy(); Xp[feature] = shuffle(Xp[feature])\n      metric_p = metric(y_true, model.predict(Xp))\n      importance_repeat = metric_p - metric_base\n    importance_feature = mean(importance_repeat)\n\n4) SHAP (SHapley Additive exPlanations)\n- Idea: asigna la contribución marginal de cada variable a cada predicción mediante teoría de juegos; se resumen por importancia global con e.g. mean(|SHAP|).\n- Pasos prácticos:\n  a) Si el modelo es tree-based, usar TreeExplainer (rápido y exacto para árboles); si es NN o lineal, usar KernelExplainer/DeepExplainer (más costoso).  \n  b) Calcula valores SHAP sobre una muestra representativa (no necesariamente todo el set si es muy grande).  \n  c) Obtén la importancia global: rankea por mean(abs(SHAP)) o por sum of absolute. También examina dependencias (SHAP summary plots, dependence plots) para dirección y no-linealidad.  \n  d) Para selección: ordenar y escoger top-K o escoger umbral en mean(|SHAP|). Repetir por CV para robustez.  \n- Ventajas: asignaciones locales; indica dirección (positivo/negativo) y no-linealidades.  \n- Cuidados: SHAP refleja la “política” del modelo (si el modelo no ha aprendido bien, las SHAP no indican causalidad); con features correlacionadas la interpretación puede ser confusa (varias variables pueden repartir contribución).\n\nPseudocódigo (conceptual):\n- explainer = shap.TreeExplainer(model)\n- shap_values = explainer.shap_values(X_sample)\n- global_imp = mean(abs(shap_values), axis=0)  # ordenar por esto\n\n5) Estrategias de selección concretas\n- Umbral simple: escoger top-K features por importancia (permutation o SHAP).  \n- Recursive elimination con importancia: eliminar iterativamente las menos importantes, reentrenar y monitorear la métrica hasta que deje de mejorar.  \n- Hybrid: primero filtrar por correlación (ej. eliminar dentro de clusters con r&gt;0.9 la variable con menor importancia), luego aplicar SHAP/permutation.  \n- CV-stability: computar importancias en cada fold; escoger variables que aparecen consistentemente (p.ej. presentes en ≥70% de folds).\n\n6) Validación final\n- Reentrena un modelo con las features seleccionadas y compara contra baseline en test (métrica, calibración, estabilidad).  \n- Revisa efectos por subgrupos y posibles fugas de información (leakage).  \n- Documenta el proceso: cómo se eligieron K/umbrales, número de repeticiones, folds.\n\n7) Buenas prácticas y recomendaciones\n- Siempre usa la misma métrica para importancia y selección.  \n- Usa permutación para medir impacto en la métrica; usa SHAP para entender dirección y efectos locales.  \n- Si hay multicolinealidad: combina clustering/regularización (L1) con las importancias.  \n- Para tiempo/recursos: usa muestras para SHAP (explainer en árboles es más rápido).  \n- Evita usar importancias calculadas sobre el mismo set que sirvió para ingeniería de features sin validación objetiva (riesgo de sobreoptimismo).\n\nResumen práctico de pipeline (resumido)\n1. Train baseline model on training folds.  \n2. Compute permutation importance (CV-averaged) → rank.  \n3. Compute SHAP (sample + CV) → rank and dependence.  \n4. Remove correlated duplicates (cluster), prefer variable con mayor importancia/interpretabilidad.  \n5. Run recursive elimination guided by importance y parar cuando la métrica empeore.  \n6. Validate final model on holdout test.\n\nFuente usada: discusión práctica sobre uso de SHAP y permutation importance en contextos reales (ej.: traversal de cientos de features — recomendaciones de LightGBM + SHAP, agrupar por correlación y revisar top SHAP drivers).  \nhttps://reddit.com/r/datascience/comments/1ly06nw/how_do_you_efficiently_traverse_hundreds_of/"</t>
  </si>
  <si>
    <t>comment_lzx295r</t>
  </si>
  <si>
    <t>post_1ogevlk</t>
  </si>
  <si>
    <t>comment_j2i5dr1</t>
  </si>
  <si>
    <t>comment_nlhhjsb</t>
  </si>
  <si>
    <t>comment_nlg4k65</t>
  </si>
  <si>
    <t>"Resumen de las suposiciones y cómo verificarlas (con remedios breves):\n\n1) Linealidad (la relación esperada entre predictoras y respuesta es lineal)\n- Diagnóstico: gráficos de Y vs cada X; gráfico de residuos ajustados (fitted vs residuals) buscando tendencia no aleatoria; partial residual / added-variable plots.\n- Pruebas/gráficos en R: plot(fit, which=1); car::avPlots(fit).\n- Remedios: añadir términos polinómicos o interacciones; transformar variables (log, sqrt); usar splines o modelos no lineales/GBM.\n\n2) Independencia de los errores (no autocorrelación)\n- Diagnóstico: gráfico de residuos en orden temporal; ACF de residuos; Durbin–Watson test.\n- R: acf(resid(fit)); lmtest::dwtest(fit).\n- Remedios: incluir efecto temporal/series (ARIMA/GLS/lagged predictors), usar modelos con correlación (nlme::gls).\n\n3) Homocedasticidad (varianza constante de errores)\n- Diagnóstico: gráfico fitted vs |residuals| o Scale-Location plot; tests: Breusch–Pagan (lmtest::bptest), White test.\n- R: plot(fit, which=3); lmtest::bptest(fit).\n- Remedios: transformar la respuesta (Box–Cox), usar weighted least squares, estimadores de varianzas robustas (sandwich), modelos de varianza heterogénea (nlme).\n\n4) Normalidad de los errores (para inferencia y intervalos)\n- Diagnóstico: QQ-plot de residuos; test de Shapiro–Wilk (para muestras pequeñas/medianas).\n- R: qqnorm(resid(fit)); qqline(resid(fit)); shapiro.test(resid(fit)).\n- Remedios: transformar la respuesta, usar estimadores robustos o métodos de remuestreo (bootstrap) si la normalidad falla pero el tamaño muestral es grande.\n\nChecks adicionales importantes\n\n- Multicolinealidad (no es requisito teórico pero afecta interpretación y varianzas)\n  - Diagnóstico: VIF (car::vif). VIF&gt;5–10 indica problema.\n  - Remedios: eliminar/combinar variables, centrar, usar PCA, o regularización (Ridge/Lasso).\n\n- Observaciones influyentes y outliers\n  - Diagnóstico: Leverage, Cook’s distance, DFBETAS; plot(fit, which=4/5) en R.\n  - Remedios: investigar datos, robust regression (M-estimators: MASS::rlm, robustbase::lmrob), o ajustar sin observaciones problemáticas si hay justificación.\n\nConsejos prácticos (flujo recomendado)\n1. Ajustar modelo OLS base.\n2. Inspeccionar gráficos: Residuales vs Fitted, QQ-plot, Scale-Location, Residuales vs cada predictor.\n3. Ejecutar tests: bptest, dwtest, shapiro.test (interpretando p-valores con cuidado).\n4. Si hay violaciones: intentar transformaciones simples; si persiste, usar WLS/GLS/robust SEs o modelos no lineales; para inferencia, bootstrap es una alternativa sólida.\n\nFragmentos útiles en R (breve)\n- fit &lt;- lm(y ~ x1 + x2, data)\n- plot(fit)                        # incluye Residuals vs Fitted y QQ-plot\n- car::vif(fit)                    # VIF\n- lmtest::bptest(fit)              # Breusch–Pagan\n- lmtest::dwtest(fit)              # Durbin–Watson\n- cooks &lt;- cooks.distance(fit); which(cooks &gt; 4/length(cooks))\n- MASS::boxcox(fit)                # buscar transformación de la respuesta\n\nLecturas y recursos (ejemplo práctico)\nFuente utilizada: https://reddit.com/r/AskStatistics/comments/1h422as/assumptions_of_linear_regression/"</t>
  </si>
  <si>
    <t>Resumen de pasos prácticos y opciones (explicadas y justificadas):\n\n1) Verificación del dato\n- Revisar origen y metadatos: ¿error de entrada/medición, o observación válida y rara?  \n- Si es error de medición, corregir o excluir. Si es real, seguir con diagnóstico.\n\n2) Cuantificar influencia (diagnósticos)\n- Criterios y estadísticas útiles:\n  - Hat values (lev­erage): regla práctica hat_i &gt; 2*p/n indica alto leverage (p = número de parámetros).\n  - Cook’s distance: D_i &gt; 4/n o D_i &gt; 1 (reglas heurísticas) señalan influencia.\n  - DFBETAS: |DFBETA_j| &gt; 2 / sqrt(n) indica influencia en coeficiente j.\n  - Residuos studentizados: |rstudent| &gt; 3 como señal de discrepancia.\n- Acciones: calcular estas métricas y listar observaciones influyentes por magnitud.\n\n3) Decisión según objetivo\n- Si el objetivo es inferencia causal: prefiera explicar la causa del valor atípico (faltan covariables, interacción, sesgo de muestreo) antes de excluirlo; si es real y representa la población objetivo, mantenerlo y modelar adecuadamente.\n- Si el objetivo es predicción: puede ponderar la robustez predictiva (incluir o excluir según validación en datos nuevos).\n\n4) Alternativas de modelado cuando el outlier es real y altamente influyente\n- Robust regression (reduce influencia): p. ej. rlm (MASS), lmrob (robustbase) — protege estimadores frente a observaciones extremas.\n- Weighted Least Squares (WLS): asignar pesos inversos a varianza esperada o a influencia observada.\n- Transformaciones: transformar variables (log, Box–Cox) puede reducir asimetría y efecto de extremos.\n- Modelar grupo separado o término especial: añadir variables que expliquen la excepción (interacción, indicador de grupo) o ajustar un submodelo (mixture models).\n- Tratar como caso especial en un análisis separado: ajustar modelo principal y modelo excluyendo outlier, y comparar (análisis de sensibilidad).\n- Métodos bayesianos con priors robustos o modelos jerárquicos que absorban heterogeneidad.\n\n5) Documentación y análisis de sensibilidad (obligatorio)\n- Mostrar resultados con y sin el outlier (coeficientes, intervalos, métricas predictivas).\n- Reportar qué cambia: signos, magnitud, significancia, predicción.\n- Justificar explícitamente cualquier exclusión o ponderación en el reporte o apéndice.\n\n6) Ejemplos breves en R (pseudocódigo)\n- Diagnóstico:\n  model &lt;- lm(y ~ x1 + x2, data)\n  cooks &lt;- cooks.distance(model)\n  hat &lt;- hatvalues(model)\n  dfb &lt;- dfbetas(model)\n  rstu &lt;- rstudent(model)\n- Robust regression:\n  library(MASS)\n  rob &lt;- rlm(y ~ x1 + x2, data = data)\n- Sensibilidad (quitar obs i):\n  model_no_i &lt;- lm(y ~ x1 + x2, data = data[-i, ])\n\nSupuestos y consecuencias\n- Robus­teza: métodos robustos suponen que los errores pueden ser pesados en las colas; estiman tendencia central menos afectada por extremos.\n- WLS requiere modelar correctamente la estructura de varianza para ser eficiente.\n- Excluir datos sin justificación puede sesgar la inferencia; por eso la preferencia es modelar o reportar ambos escenarios.\n\nConclusión breve\n- No hay una única respuesta: si el outlier es real, lo responsable es investigar, cuantificar su influencia, elegir la estrategia compatible con el objetivo del estudio (mantener y robustecer, modelar su causa, o excluir con justificación) y presentar un análisis de sensibilidad que muestre el efecto de la decisión sobre resultados e inferencias.\n\nFuente:\nhttps://reddit.com/r/AskStatistics/comments/1oe9fo6/outliers_are_confusing_me/"</t>
  </si>
  <si>
    <t>comment_nl1dwty</t>
  </si>
  <si>
    <t>comment_nl4zrqh</t>
  </si>
  <si>
    <t>comment_nkzv29x</t>
  </si>
  <si>
    <t>comment_nl3lb5s</t>
  </si>
  <si>
    <t>comment_hwwtd2h</t>
  </si>
  <si>
    <t>comment_jdw520p</t>
  </si>
  <si>
    <t>comment_hwwxlxq</t>
  </si>
  <si>
    <t>"1) Qué es (resumen)\n- Multicolinealidad: situación en regresión lineal donde uno o más predictores son linealmente (o casi linealmente) dependientes de otros, produciendo incertidumbre alta en los coeficientes.\n\n2) Cómo detectarla (métodos prácticos)\n- Matriz de correlaciones: inspeccionar correlaciones pairwise altas (|r| ≳ 0.8) como señal inicial.\n- VIF (Variance Inflation Factor): para cada predictor j, VIF_j = 1 / (1 − R_j^2), donde R_j^2 es R^2 de la regresión de x_j contra los demás. Regla empírica: VIF &gt; 5 (ó 10) sugiere problema.\n  - Tolerancia = 1 / VIF = 1 − R_j^2 (valores cercanos a 0 indican colinealidad).\n- GVIF: extensión de VIF para factores categóricos con &gt;2 niveles.\n- Análisis de valores propios / condition index: calcular la descomposición en valores propios de la matriz X'X; Condition index = sqrt(λ_max/λ_i). Índices &gt; 15 (moderado) y &gt; 30 (alto) marcan problemas; observar combinaciones de variables asociadas a pequeñas varianzas (componentes).\n- Signos de advertencia en la práctica: coeficientes con gran SE, signos inesperados, coeficientes que cambian mucho al añadir/quitar variables.\n\n3) Impacto en la regresión\n- Estimadores siguen siendo insesgados (en OLS) pero:\n  - Aumenta la varianza de estimadores → intervalos de confianza muy amplios y pruebas t no significativas.\n  - Coeficientes inestables: cambios al modificar el conjunto de predictores.\n  - Interpretación causal/individual de coeficientes pérdida o dudosa.\n  - Error de predicción fuera de muestra no necesariamente empeora; la predicción puede mantenerse razonable si el conjunto de predictores conjunto sigue informando la respuesta.\n- En presencia de multicolinealidad severa, los signos y magnitudes de betas pueden ser engañosos.\n\n4) Qué hacer (remedios y recomendaciones)\n- Revisión teórica: eliminar variables redundantes según conocimiento del dominio.\n- Combinar variables: crear índices (por ejemplo, media o suma) o variables compuestas.\n- PCA / componentes principales: usar componentes principales como predictores (interpretabilidad reducida).\n- Regularización: Ridge reduce varianzas (útil si interés es predicción); Lasso puede seleccionar variables.\n- Recolectar más datos o diseñar experimento con menor correlación entre predictores.\n- Reparametrización: centrar/estandarizar no quita colinealidad, pero ayuda en la interpretación; ortogonalizar con respecto a variables clave (con cuidado con la interpretación).\n- Informar: reportar VIF/condition index y justificar decisiones.\n\n5) Ejemplos breves (conceptual / R)\n- Calcular VIF en R: library(car); vif(lm_model)\n- Condition number: kappa(X) o usar eigen(cor(X)) y calcular sqrt(max/min).\n\nFuente: discusión educativa sobre métodos habituales para detectar y manejar multicolinealidad (VIF, GVIF, condition index, interpretación y umbrales).  \nhttps://reddit.com/r/AskStatistics/comments/s5hoci/dealing_with_multicollinearity_in_regression/"</t>
  </si>
  <si>
    <t>comment_gcayp4d</t>
  </si>
  <si>
    <t>comment_gocc4nn</t>
  </si>
  <si>
    <t>comment_gob7u3p</t>
  </si>
  <si>
    <t>comment_jdaihtt</t>
  </si>
  <si>
    <t>comment_ht3qw1s</t>
  </si>
  <si>
    <t>comment_jif2ybf</t>
  </si>
  <si>
    <t>"1) Principio general\n- Overfitting ocurre cuando el rendimiento en train es mucho mejor que en test. Por tanto, la detección se basa en comparar métricas de ajuste (error o bondad) entre ambos conjuntos y en la estabilidad de esas métricas bajo validación cruzada.\n\n2) Métricas útiles (según tipo de problema)\n- Regresión: MSE / RMSE, MAE, R^2.  \n  - Señal de overfitting: RMSE_train &lt;&lt; RMSE_test o R2_train ≫ R2_test.\n- Clasificación (determinista): Accuracy, Precision/Recall, F1-score.  \n  - Señal: Accuracy_train &gt;&gt; Accuracy_test o caída grande en F1.\n- Clasificación probabilística: Log-loss (cross-entropy), AUC-ROC, Brier score.  \n  - Señal: baja pérdida en train y pérdida alta en test; AUC_train mucho mayor que AUC_test.\n- Modelos calibrados: comparar curvas de calibración, Brier score.\n- Series temporales / forecasting: MAPE, MAE, RMSE en ventanas temporales; ojo con leakage temporal.\n\n3) Comparaciones y visualizaciones clave\n- Brecha simple (gap):  \n  - Para métricas de error (RMSE, MAE): gap = metric_test − metric_train. Gap grande &gt; 0 indica overfitting.  \n  - Para métricas de bondad (accuracy, AUC, R2): gap = metric_train − metric_test. Gap grande &gt; 0 indica overfitting.\n- Learning curves: plot de error/score en train y validación según número de ejemplos. Overfitting típico: train error muy bajo y validación error estable/alto.\n- Validation curve: rendimiento vs complejidad del modelo (p. ej. profundidad del árbol, grado de polinomio).\n- Curvas de pérdida por época (deep learning): divergencia entre train loss decreciente y val loss que se estabiliza o aumenta.\n- Matriz de confusión comparada entre train y test para ver qué clases empeoran.\n\n4) Cuantificar la diferencia y su significancia\n- Validación cruzada: obtener media y desviación estándar de la métrica en folds para test; comparar con la métrica en train. Si la diferencia excede la variabilidad esperada (p. ej. intervalos de confianza o bootstrap), es más probable que exista overfitting real.\n- Bootstrap de la diferencia (gap) para obtener intervalo de confianza del gap.\n- Si se usan muchos hiperparámetros, preferir un set de hold-out final además del CV para evitar sobreoptimización en validación.\n\n5) Otras comprobaciones prácticas\n- Revisar leakage de datos (features que replican target). Si aparece train &gt;&gt; test, sospechar leakage.\n- Comprobar shift de distribución entre train y test (KS test, PSI, histogramas). A veces la diferencia se debe a shift y no a overfitting.\n- Regularización y control de complejidad (penalizaciones, pruning, dropout) y ver si la brecha disminuye.\n\n6) Ejemplo conceptual (pseudocódigo)\n- Calcular gap para error (regresión):\n  - rmse_train = RMSE(model.predict(X_train), y_train)\n  - rmse_test  = RMSE(model.predict(X_test), y_test)\n  - gap = rmse_test - rmse_train  # gap ≫ 0 → posible overfitting\n- Con CV:\n  - scores_test = cross_val_score(model, X, y, cv=K, scoring='neg_root_mean_squared_error')\n  - mean_test = -mean(scores_test); sd_test = std(scores_test)\n  - comparar rmse_train con mean_test ± 1.96*sd_test\n\nResumen práctico: prioriza comparar métricas apropiadas (error vs bondad), visualizar learning/validation curves y usar CV o bootstrap para ver si la brecha es mayor que la variabilidad esperada; investir leakage o shift si la brecha persiste.\n\nSource URL: https://reddit.com/r/datascience/comments/1349yti/overfitting/"</t>
  </si>
  <si>
    <t>"Respuesta clara y pedagógica para estudiantes de regresión:\n\n1) Qué buscan los gráficos de residuos (los más útiles)\n- Residuales vs fitted (o vs cada predictor): detecta no linealidad y dependencia en X.\n- Scale–location (raíz del residuo^2 vs fitted): muestra heterocedasticidad (funnel).\n- Q–Q plot de residuos: revela desviaciones de normalidad (sesgo/colas).\n- Residuales vs orden de las observaciones: indica autocorrelación/efectos temporales.\n\n2) Cuándo SON suficientes como única guía\n- Cuando el patrón visual es claro y consistente (p. ej. curva pronunciada en resid vs fitted o embudo evidente) y el modelo es simple (pocos predictores, sin interacciones complicadas).\n- Si la violación identificada tiene una transformación conocida y conceptualmente razonable (p. ej. embudo → transformar Y con log o raíz; curvatura → transformar X con log o elevar a potencia).\n- Si el objetivo es mejorar ajuste/predicción y una transformación simple corrige el patrón y mejora métricas (RMSE/AIC/CV) sin sacrificar interpretabilidad.\n\n3) Cuándo NO son suficientes\n- Si los patrones son débiles/ambiguos o varían entre subgrupos de datos.\n- Si hay múltiples predictores y la violación puede deberse a interacción, variables omitidas o efectos no lineales por predictor; entonces conviene probar términos polinomiales, splines o modelos distintos.\n- Para problemas inferenciales pequeños: complementar con tests formales (p. ej. Breusch–Pagan para heterocedasticidad, Box–Cox para sugerir potencias) y validación cruzada.\n\n4) Reglas prácticas (procedimiento recomendado)\n- Paso 1: Ajusta el modelo inicial y grafica: resid vs fitted, resid vs cada X, Q–Q, scale–location, resid vs índice.\n- Paso 2: Interpreta patrón:\n  - Curvatura sistemática → probar transformar X (log(X), X^α) o añadir X^2, splines.\n  - Funnel (varianza creciente/disminuyendo) → transformar Y (log(Y), sqrt(Y)) o usar pesos/heteroscedasticity-consistent SE.\n  - Sesgo en Q–Q (colas o asimetría) → transformar Y (Box–Cox) o usar modelos robustos.\n  - Outliers/alta influencia → investigar casos, considerar robust regression o transformar.\n- Paso 3: Reajusta con la(s) transformación(es) plausibles y vuelve a graficar. Acompaña con comparación objetiva: AIC, RMSE en validación cruzada, y coherencia interpretativa.\n- Paso 4: Elegir la solución que corrige violaciones relevantes y mantiene sentido en el contexto (no transformar sólo por mejorar números).\n\n5) Ejemplos rápidos (mapa patrón → transformación)\n- Funnel (varianza aumenta con fitted): log(Y) o sqrt(Y).\n- Curva simétrica en resid vs X (concavo/convexo): log(X), X^0.5, o incluir X^2.\n- Residuales con colas pesadas: Box–Cox o transformaciones que reduzcan asimetría; o modelos robustos.\n\n6) Nota sobre interpretación y objetivos\n- Si tu meta es explicación/interpretación de efectos, evalúa el coste interpretativo de la transformación (p. ej. coeficientes en escala log).\n- Si tu meta es predicción pura, prioriza validación y métricas predictivas; la transformación está justificada si mejora generalización.\n\nFragmento de pseudocódigo en R (secuencia):\n- fit &lt;- lm(Y ~ X1 + X2, data)\n- plot(fit) # chequea resid vs fitted, qq, scale-location\n- library(MASS); boxcox(fit) # sugiere potencia para Y\n- bptest(fit) # test de heterocedasticidad\n- fit2 &lt;- lm(log(Y) ~ X1 + X2, data) # probar transformación\n- compare por AIC o CV\n\nFuente utilizada:\nhttps://reddit.com/r/datascience/comments/1460ek4/how_do_you_find_the_best_transformations_linear/"</t>
  </si>
  <si>
    <t>comment_jnra8cu</t>
  </si>
  <si>
    <t>comment_kz8lfur</t>
  </si>
  <si>
    <t>comment_jnrbm8d</t>
  </si>
  <si>
    <t>comment_jnrcqu1</t>
  </si>
  <si>
    <t>"1) Definir el objetivo predictivo\n- Decide si te interesa predecir nuevas observaciones dentro de los mismos grupos (intra-grupo) o predecir para grupos nuevos (inter-grupo). Esto determina la estrategia de validación.\n\n2) Estrategias de particionado (CV) que respetan la jerarquía\n- Leave-One-Group-Out (LOGO): útil si el objetivo es predecir para grupos nuevos. Cada fold retira todas las observaciones de uno o varios grupos.\n- Grouped k-fold CV: dividir grupos en k conjuntos — cada fold contiene grupos completos.\n- Time-blocked CV (para datos longitudinales): dejar bloques temporales fuera para evitar fugas de información.\n- Evita el random row-wise CV si hay dependencia intra-grupo: produce estimaciones optimistas y no detecta sobreajuste.\n\n3) Métricas predictivas a usar (según tipo de respuesta)\n- Continuas: RMSE, MAE, R^2_predictivo (out-of-sample: 1 − SSE_holdout / SST_holdout).\n- Discretas/binarias: log-loss (negative log-likelihood), Brier score; AUC para clasificación (pero AUC no refleja calibración).\n- Intervalos/predicción completa: cobertura de intervalos predictivos (empirical coverage), CRPS o PIT para calibración.\n- Para modelos Bayesianos: LOO-PSIS y WAIC (estimadores de predictive density / elpd) para comparar modelos.\n\n4) Complementos informativos (no reemplazan la CV)\n- R^2 marginal y condicional (Nakagawa &amp; Schielzeth): útiles para describir varianza explicada por efectos fijos vs. totales, pero son medidas in-sample y no detectan sobreajuste por sí solas.\n- AIC/BIC: métricas de ajuste penalizado; sirven para comparación in-sample pero no reemplazan validación predictiva.\n\n5) Señales claras de sobreajuste\n- Gran brecha entre rendimiento train vs. test (por ejemplo RMSE_train &lt;&lt; RMSE_test).\n- Alta varianza de la métrica entre folds.\n- Predicciones no calibradas (coverage &lt;&lt; nominal).\n- Mejor desempeño in-sample con modelos muy complejos pero peor desempeño out-of-sample.\n\n6) Workflow práctico (pseudocódigo en R)\n- Definir grouping variable (group_id).\n- Crear folds por grupo (ej. 5 folds de grupos).\n- Para cada fold:\n  - fit &lt;- lmer(y ~ x1 + x2 + (1|group_id), data = train)\n  - y_hat &lt;- predict(fit, newdata = test, re.form = ???)\n    - Si predices a grupos nuevos, usar re.form = NA (solo efectos fijos) o muestreo de efectos aleatorios según objetivo.\n  - calcular métricas: RMSE_fold, MAE_fold, logLik_holdout, coverage de intervalos.\n- Resumir métricas (media ± sd). Evaluar gap train vs test.\n\nObservación práctica sobre predict() y efectos aleatorios:\n- Para evaluar predicción en grupos nuevos, no uses efectos aleatorios estimados del grupo retenido (usar re.form = NA o simular efectos aleatorios desde la distribución estimada).\n- Para evaluar predicción dentro de los mismos grupos, permite usar efectos aleatorios (re.form por defecto), pero recuerda que esto mide “memorización” parcial.\n\n7) Para modelos Bayesianos\n- Usa el paquete loo (LOO-PSIS) para estimar el rendimiento predictivo y detectar observaciones influyentes.\n- Calcula intervalos predictivos y CRPS para calibración.\n\n8) Recomendaciones finales\n- Elige la estrategia de CV que refleje la tarea de predicción real (nuevo grupo vs. nueva observación).\n- Reporta métricas out-of-sample y la variabilidad entre folds.\n- Complementa métricas con evaluación de calibración (coverage / PIT / CRPS) para detectar sobreajuste que afecta a incertidumbre.\n\nFuente utilizada:\nhttps://reddit.com/r/AskStatistics/comments/hro5oe/can_we_calculate_a_predicted_r_squared_for_mixed/"</t>
  </si>
  <si>
    <t>comment_h68nh8i</t>
  </si>
  <si>
    <t>comment_fy5kn4p</t>
  </si>
  <si>
    <t>comment_fy8eck8</t>
  </si>
  <si>
    <t>comment_fy5jef1</t>
  </si>
  <si>
    <t>"Checklist práctica para identificar data leakage antes de entrenar (paso a paso):\n\n1) Revisa el diseño de la partición\n   - ¿La muestra debe respetar tiempo o grupos? Si hay dependencia temporal usa divisiones por tiempo (Time-based split) o TimeSeriesSplit; si hay usuarios/clientes usa GroupKFold.\n   - Razonamiento: split aleatorio puede poner información “futura” o del mismo grupo en train/test.\n\n2) Busca duplicados e IDs compartidos entre train/test\n   - Comprobar si claves únicas (user_id, order_id) aparecen en ambos conjuntos.\n   - Cómo: merge/intersect de claves entre particiones; si hay intersección, reasigna particiones por grupo.\n\n3) Inspecciona columnas sospechosas (joins, timestamps, flags)\n   - Pregunta por el origen de cada variable: ¿se creó a partir del target o de procesos posteriores a la predicción?\n   - Eliminar o reconstruir variables que contienen información derivada del target (p. ej. “was_returned”, “days_to_churn_after_labeling”).\n\n4) Verifica correlaciones y dependencia sorprendente con la variable objetivo\n   - Calcula correlación/ANOVA/chi-cuadrado entre cada feature y el target en el set de entrenamiento; busca features con correlaciones extremadamente altas que no tienen sentido lógico.\n   - Si una sola feature explica casi todo, investiga su procedencia.\n\n5) Prueba empírica de permutación (permutation test)\n   - Entrena el modelo sobre el train normal y calcula performance en test.\n   - Permuta aleatoriamente el target en train, reentrena y compara: si el modelo mantiene performance alta con target permutado, likely leakage o sobreajuste por features que codifican el target.\n   - Pseudocódigo conceptual:\n     - score_real = train_and_eval(X_train, y_train, X_test, y_test)\n     - y_perm = shuffle(y_train); score_perm = train_and_eval(X_train, y_perm, X_test, y_test)\n     - si score_perm &gt;&gt; baseline aleatorio → investigar leakage.\n\n6) Entrenamientos “univariantes” y análisis de importancia de features\n   - Entrenar modelos simples (una característica a la vez) para ver si alguna sola variable entrega performance inusualmente alta.\n   - Revisar importancias (feature importance / SHAP) y rastrear las variables top hasta su origen.\n\n7) Revisa el pipeline de preprocesado\n   - Asegúrate que transformaciones se \"fit\" solo con train (escaladores, imputadores, label encoders, target encoding).\n   - Para target encoding/mean encoding usa esquema de encodings con CV (out-of-fold) para evitar leak del target.\n\n8) Inspecciona merges y joins con fuentes externas\n   - Revisa si al hacer join añadiste columnas calculadas en una fecha posterior al momento de predicción.\n   - Controla que las fuentes externas estén “retroactivamente limpias” (solo información disponible en tiempo t).\n\n9) Prueba de robustez: retira features sospechosas\n   - Recalcula performance sin las features sospechosas; si cae dramáticamente, investiga su validez temporal y causal.\n\n10) Auditoría documental y trazabilidad\n   - Documenta para cada feature: origen, fecha de extracción, si depende del target, y si está disponible en producción. Habla con quien generó los datos para confirmar.\n\nEjemplos breves (conceptuales):\n- Duplicados en pandas:\n  - intersect = set(train['id']).intersection(set(test['id']))\n  - if len(intersect)&gt;0: print(\"IDs compartidos:\", len(intersect))\n- Permutation test (esquema):\n  - score_real = model.fit(X_train,y_train).score(X_test,y_test)\n  - for i in 1..N: y_sh = shuffle(y_train); scores_perm[i]=model.fit(X_train,y_sh).score(X_test,y_test)\n  - comparar distribuciones.\n\nReglas rápidas de oro\n- Si no puedes demostrar que una variable existía en el momento de la predicción, no la uses.\n- Automatiza checks (dups, ID-intersection, fecha de extracción vs fecha de label) como parte del pipeline de validación de datos.\n- Prioriza interpretabilidad (imports/SHAP) para detectar variables “demasiado útiles”.\n\nEjemplo de comentario práctico visto en foros estudiantiles: “If you’re splitting randomly then you’re leaking test set data into training your model” — recuerda que la forma de split debe reflejar el proceso real de predicción.\n\nSource URL:\nhttps://reddit.com/r/datascience/comments/ssbez3/my_model_seems_too_accurate_what_can_i_do_to_ensure_it_is_correct/"</t>
  </si>
  <si>
    <t>comment_llrgfoc</t>
  </si>
  <si>
    <t>comment_hwxjfbq</t>
  </si>
  <si>
    <t>comment_hwwxtbu</t>
  </si>
  <si>
    <t>comment_lltcjrr</t>
  </si>
  <si>
    <t>"1) Conceptos clave (breve)\n- Bias (sesgo): error sistemático por modelo demasiado simple para la relación real (causa subajuste).\n- Variance (varianza): sensibilidad del modelo a distintas muestras de entrenamiento (causa sobreajuste).\n- Error total ≈ irreducible error (ruido) + bias^2 + variance.\n\n2) Diagnóstico práctico paso a paso\n- Calcular error en entrenamiento y validación (o test) con la misma métrica (p. ej. MSE para regresión).\n  - Si error_train alto ≈ error_val alto → alto bias (underfitting).\n  - Si error_train bajo pero error_val mucho mayor → alta varianza (overfitting).\n- Trazar curvas de aprendizaje:\n  - Eje x = tamaño del entrenamiento (o complejidad del modelo), eje y = error_train y error_val.\n  - Patrón típico:\n    - Underfitting: ambas curvas altas y cercanas; añadir complejidad baja ambas.\n    - Overfitting: error_train bajo, error_val alto; aumentar datos o regularizar reduce gap.\n\n3) Remedios según diagnóstico\n- Si alto bias (underfitting):\n  - Aumentar complejidad del modelo (polinomios, features, interacciones).\n  - Reducir regularización.\n  - Incluir variables relevantes o mejorar representación (feature engineering).\n- Si alta varianza (overfitting):\n  - Conseguir más datos de entrenamiento.\n  - Aumentar regularización (Ridge, Lasso), simplificar modelo.\n  - Usar técnicas que reducen varianza: cross-validation para selección, bagging/ensembles, early stopping, dropout (NN).\n  - Data augmentation si aplica.\n\n4) Comprobaciones adicionales\n- Ver residuos en validación: heterocedasticidad o patrón sistemático puede indicar falta de features o transformación necesaria.\n- Usar k-fold CV para estimar estabilidad (varianza) del desempeño.\n- Comparar efectos al variar tamaño de datos: si error_val baja al añadir más datos → overfitting probable.\n\n5) Pseudocódigo conceptual para diagnóstico (esquema)\n- Para distintos niveles de complejidad c en grid:\n  - Entrenar modelo(c) en train set.\n  - Calcular error_train(c), error_val(c) (o CV).\n- Graficar error_train y error_val vs c; interpretar según patrones arriba.\n\nEjemplo útil (mencionado en discusión recuperada): la regla práctica — error_train bajo + error_val alto implica alta varianza; error_train y error_val altos y similares implica alto bias — se usa frecuentemente para decisiones de modelado.\n\nSource URL: https://reddit.com/r/AskStatistics/comments/yvftqi/is_it_correct_to_say_that_overfitting_corresponds/"</t>
  </si>
  <si>
    <t>comment_gpjmhws</t>
  </si>
  <si>
    <t>comment_gpjn38h</t>
  </si>
  <si>
    <t>comment_iwg06jd</t>
  </si>
  <si>
    <t>comment_iwfzgeb</t>
  </si>
  <si>
    <t>comment_g9hb05l</t>
  </si>
  <si>
    <t>comment_lvhsufg</t>
  </si>
  <si>
    <t>comment_lvir93i</t>
  </si>
  <si>
    <t>comment_l8aev40</t>
  </si>
  <si>
    <t>comment_ew41j6e</t>
  </si>
  <si>
    <t>"Definición breve\n- Concept drift: cambio en la relación f(x) → y con el tiempo; el modelo ya no refleja la función generadora actual. Diferenciar: data drift = cambios en p(X); concept/label drift = cambios en p(y|X) o en la definición del objetivo.\n\nSeñales simples que indican que un modelo deja de generalizar\n1. Degradación sostenida de métricas en datos recientes\n   - Ej.: caída continua de AUC/accuracy/F1 sobre ventanas móviles (p. ej. 7/14/30 días).\n   - Regla práctica: descenso relativo consistente (ej. &gt;5–10% durante n ventanas) o caída absoluta significativa.\n2. Brecha creciente entre rendimiento en entrenamiento/validación histórica y en producción\n   - Train/val estables pero test/prod empeora → posible drift o cambio de distribución.\n3. Cambios en la distribución de predicciones\n   - Shift en histogramas de score (p. ej. concentración de probabilidades hacia 0.5 o hacia extremos).\n4. Cambios en tasas base o proporciones de clases\n   - Variación en prevalence (p.ej. porcentaje de eventos positivos) que no se explica por estacionalidad.\n5. Aumento de residuos o error medio y de su varianza\n   - Residuales más grandes o autocorrelacionados en series temporales.\n6. Pérdida de calibración\n   - Calibration curve / reliability diagram empeoran; predicted prob ≠ observed freq.\n7. Tests estadísticos y métricas de distribución\n   - PSI (Population Stability Index) alto (&gt;0.2 indica cambio fuerte; 0.1–0.2 moderado).\n   - KS test o KL divergence entre distribuciones de features o scores.\n8. Señales operativas / de negocio\n   - KPIs asociados al modelo empeoran (p. ej. tasa de conversión, churn); alertas de stakeholders.\n\nChecks y algoritmos simples para monitoreo (pseudocódigo conceptual)\n- Ventana rolling metrics:\n  for each day/week:\n    compute metric_prod on last W days\n    compute metric_ref on baseline period\n    if metric_prod &lt; metric_ref - threshold for k consecutive windows:\n      raise alert\n- PSI entre distribuciones de feature/score:\n  compute PSI(feature_bins_ref, feature_bins_prod)\n  if PSI &gt; 0.2: alert\n- KS test:\n  for each numeric feature: p = ks_test(ref_values, prod_values)\n  if p &lt; alpha (ej. 0.01) and effect size grande: investigate\n\nInvestigación y acciones iniciales\n- Verificar integridad y cambios en el pipeline de datos (nuevos nulls, re-codificaciones).\n- Segmentar por cohorts temporales para localizar cuándo comenzó el cambio.\n- Revisar variables más importantes (feature importance) para ver si su correlación/efecto cambió.\n- Retrain parcial o full: probar retrain con datos recientes, usar validación temporal (time-based CV).\n- Considerar modelos adaptativos: re-entrenamientos periódicos, windowed training, weighting por recencia, o métodos online.\n\nUmbrales prácticos (orientativos)\n- PSI: &lt;0.1 (estable), 0.1–0.2 (moderado), &gt;0.2 (significativo).\n- Caída de AUC/accuracy: descenso relativo sostenido &gt;5–10% merece investigación.\n- KS p-value &lt;0.01 con diferencia de medias significativas → posible drift.\n\nEjemplo conceptual de cálculo de PSI (pasos)\n1. Dividir rango en bins, contar % en cada bin para ref y prod.\n2. PSI = sum((pct_ref - pct_prod) * ln(pct_ref / pct_prod)) sobre bins.\n3. Interpretar según umbrales indicados.\n\nFuentes y lecturas recomendadas (ejemplos)\nhttps://www.evidentlyai.com/ml-in-production/concept-drift\nhttps://en.wikipedia.org/wiki/Concept_drift\nhttps://pmc.ncbi.nlm.nih.gov/articles/PMC9162121/",</t>
  </si>
  <si>
    <t>post_n2vshr</t>
  </si>
  <si>
    <t>comment_gj85y8i</t>
  </si>
  <si>
    <t>comment_gj5bpad</t>
  </si>
  <si>
    <t>comment_fatjsjo</t>
  </si>
  <si>
    <t>comment_inhk5bw</t>
  </si>
  <si>
    <t>"Técnicas principales para diagnosticar autocorrelación en residuos (breve descripción, cuándo usar y comandos R útiles):\n\n1) Inspección visual\n - Plot de residuos vs tiempo: busca patrones sistemáticos, ciclos o tendencias.\n - ACF (autocorrelation function) y PACF (partial ACF) de los residuos: identifica lags significativos y posible orden AR/MA.\n   R:\n   - plot(resid(model), type=\"l\")\n   - acf(resid(model)); pacf(resid(model))\n\n2) Pruebas portmanteau\n - Ljung–Box Q-test: prueba conjunta H0 = «no hay autocorrelación hasta el lag m». Útil para chequear si quedan correlaciones residuales después de ajustar un modelo.\n   - Atención: cuando se estiman parámetros (p,q), ajustar grados de libertad: df ≈ m − (p+q).\n   R:\n   - Box.test(resid(model), type=\"Ljung-Box\", lag = m, fitdf = p+q)\n - Box–Pierce: versión más antigua; Ljung–Box suele preferirse por mejor comportamiento en pequeñas muestras.\n\n3) Pruebas específicas para orden 1 y orden superior\n - Durbin–Watson: prueba simple para autocorrelación de orden 1 en regresión. Limitaciones: diseñada para errores con lag‑1, problemas si hay regresores retardados.\n   R:\n   - car::durbinWatsonTest(lm_model)\n - Breusch–Godfrey (LM test): detecta autocorrelación de orden r (flexible y funciona si hay retardos del dependiente en el modelo).\n   R:\n   - lmtest::bgtest(lm_model, order = r)\n\n4) Pruebas no paramétricas / de aleatoriedad\n - Runs test (prueba de rachas): detecta dependencia en la secuencia de signos de residuos (ubicada en paquetes estadísticos).\n\n5) Detección de autocorrelación en varianza (efectos ARCH)\n - Engle’s ARCH test: si sospechas autocorrelación en la varianza (volatilidad), aplicar prueba sobre los residuos al cuadrado.\n   R:\n   - tseries::arch.test / FinTS::ArchTest (según paquete)\n\n6) Métodos de frecuencia / espectrales\n - Periodograma o análisis espectral: detecta autocorrelación periódica (ciclos) no obvia en ACF.\n\n7) Consideraciones prácticas y recomendaciones\n - Elección del lag m en Ljung–Box: típicamente m ≈ 10–20 o m ≈ sqrt(n); probar varios valores.\n - Ajuste de grados de libertad cuando el modelo ya estimó parámetros (restar p+q).\n - En muestras pequeñas las pruebas pueden tener baja potencia; combinar diagnóstico visual con pruebas formales.\n - Si detectas autocorrelación: incorporar términos ARMA/ARIMA, usar GLS/Cocharne‑Orcutt o estimadores robustos de covarianza (Newey–West) según el objetivo (predicción vs inferencia).\n\nEjemplo práctico breve (R):\n - Ajusta modelo, luego:\n   residuos &lt;- resid(model)\n   acf(residuos); pacf(residuos)\n   Box.test(residuos, type=\"Ljung-Box\", lag=12, fitdf = number_of_estimated_params)\n   lmtest::bgtest(model, order = 4)\n\nEjemplo de discusión en foros: usuarios recomiendan Durbin–Watson, ACF y técnicas de series temporales para diagnosticar y corregir autocorrelación en residuos (ver enlace).\n\nhttps://reddit.com/r/AskStatistics/comments/n2vshr/im_not_sure_how_to_interpret_this/",</t>
  </si>
  <si>
    <t>"¿Qué significa “ajustar por geography” en una regresión, explicado de forma intuitiva?"</t>
  </si>
  <si>
    <t>post_txqzi7</t>
  </si>
  <si>
    <t>"¿Qué quiere decir “ajustar por geography”?\n- Intuición simple: cuando ajustas por geography estás comparando observaciones que pertenecen a la misma ubicación (por ejemplo, mismo estado/ciudad) y estimando la relación entre la variable explicativa y el resultado dentro de esas ubicaciones. En otras palabras, eliminas (controlas) el efecto promedio que tiene vivir en un lugar distinto.\n- Ejemplo verbal: si investigas el efecto del ingreso sobre salud y “ajustas por estado”, el coeficiente del ingreso describe cómo cambia la salud al aumentar el ingreso, suponiendo que comparamos personas dentro del mismo estado (es decir, manteniendo la ubicación igual).\n\n¿Cómo se hace en la práctica?\n- Con variables dummy (one-hot): si geography tiene K categorías, añades K−1 dummies al modelo:\n  y = α + β·ingreso + γ2·I[state=2] + γ3·I[state=3] + ... + ε\n  El β se interpreta como el efecto del ingreso “manteniendo el estado fijo”.\n- Con efectos fijos (fixed effects): es lo mismo de forma conceptual cuando hay muchas áreas; cada área tiene su intercepto que captura todo lo que es constante dentro del área.\n- Con modelos jerárquicos (random effects) o pooling parcial cuando quieres modelar variación entre y dentro de áreas con supuestos distintos.\n\nIntuición matemática breve\n- La regresión multivariable estima coeficientes que son efectos parciales: cada coeficiente representa la asociación entre Xj y Y después de quitar (partial out) la parte de Xj y de Y que está explicada por las demás covariables (aquí, geography). Formalmente, esto se relaciona con el estimador β = (X'X)^{-1}X'Y y con correlaciones parciales.\n- Otra construcción útil: primero regresa ingreso sobre dummies de geography y guarda los residuos (lo que del ingreso no se explica por geography). Luego regresa Y sobre esos residuos; el coeficiente resultante es igual al coeficiente de ingreso en el modelo con dummies. Eso muestra que ajustas quedándote solo con la variación “dentro” de cada área.\n\nSupuestos y advertencias prácticas\n- Ajustar por geography corrige confusión por diferencias promedio entre áreas, pero no corrige confusores que varíen dentro de la misma área y que no estén en el modelo.\n- Riesgos: colinealidad si la variable de interés está fuertemente correlacionada con geography (pequeña variación dentro de áreas → errores estándar grandes); sobrecontrol si geography está en la cadena causal (mediador); pocas observaciones por área limitan la precisión.\n- Alternativas si tienes muchas áreas o heterogeneidad: efectos aleatorios (mixed models) o estimación por diferencia dentro de áreas si quieres excluir efectos no observados permanentes.\n\nFragmento de código conceptual (R)\n- Modelo con dummies automáticas:\n  lm(outcome ~ income + factor(state), data = df)\n- Procedimiento de residualización (explica la idea de “within”):\n  income_resid &lt;- lm(income ~ factor(state), data=df)$residuals\n  lm(outcome ~ income_resid, data=df)\n\nFuente (ejemplo consultado): discusión sobre ajuste por covariables y la interpretación de coeficientes parciales.\nhttps://reddit.com/r/AskStatistics/comments/txqzi7/how_does_regression_adjust_for_confounders_what/"</t>
  </si>
  <si>
    <t>"¿Cuál es la intuición detrás de incluir términos de interacción en una regresión y qué tipo de relaciones permiten capturar?"</t>
  </si>
  <si>
    <t xml:space="preserve"> "1) Intuición básica\n- Un término de interacción modela que el efecto de una variable X1 sobre la respuesta Y depende del nivel de otra X2. Es decir, el efecto no es simplemente sumatorio (no aditivo).\n- En forma lineal: y = β0 + β1 x1 + β2 x2 + β3 (x1·x2). Aquí la pendiente parcial respecto a x1 es ∂y/∂x1 = β1 + β3 x2: la contribución de x1 cambia con x2.\n\n2) Qué tipos de relaciones permite capturar\n- Continuous × Continuous: cambios en la pendiente de X1 según el valor de X2 (p. ej. cuánto mejora el rendimiento por hora de estudio depende de horas de sueño).\n- Continuous × Categorical: diferentes pendientes por grupo (p. ej. efecto de un tratamiento distinto para hombres y mujeres).\n- Categorical × Categorical: efectos de combinación de niveles que no se explican por la suma de efectos individuales (p. ej. interacción entre dos políticas).\n- Efectos sinérgicos (β3 &gt; 0), antagonistas (β3 &lt; 0) o inversiones de signo según el nivel de la otra variable.\n\n3) Interpretación práctica\n- Siempre incluir los efectos principales cuando se incluye una interacción (a menos que haya razón teórica para omitirlos).\n- Centrar variables continuas (restar media) para mejorar interpretación del intercepto y reducir correlación con el término interactivo.\n- Interpretar mediante pendientes marginales y/o gráficas de \"simple slopes\" en distintos valores de la variable moderadora.\n- Probar la significancia de la interacción con pruebas anidadas (F-test, likelihood ratio) o p-valor del coeficiente β3.\n\n4) Advertencias y suposiciones\n- Supone linealidad en los parámetros (puedes aún modelar no linealidades con polinomios o transformaciones e interacciones).\n- Requiere suficiente variación y tamaño de muestra en las combinaciones de X1 y X2 para estimar β3 con precisión.\n- Puede aumentar multicolinealidad; revisa VIF y estabilidad de coeficientes.\n- Riesgo de sobreajuste si se prueban muchas interacciones sin teoría o evidencia previa.\n\n5) Ejemplo numérico simple\n- Modelo: y = β0 + β1 x1 + β2 x2 + β3 x1·x2. Si β1 = −1 y β3 = 0.5:\n  - Si x2 = 0, efecto de x1 = −1.\n  - Si x2 = 4, efecto de x1 = −1 + 0.5·4 = 1 (cambia de negativo a positivo).\nEsto ilustra cómo la interacción modifica la dirección y magnitud del efecto.\n\n6) Código de uso (R, pseudocódigo)\n- lm(y ~ x1 * x2, data = df)  # equivalente a lm(y ~ x1 + x2 + x1:x2, ...)\n\nFuente (ejemplos y discusión conceptual): https://reddit.com/r/AskStatistics/comments/1ebgi3r/why_do_multivariate_regression_models_sometimes/"</t>
  </si>
  <si>
    <t>comment_lesuzbi</t>
  </si>
  <si>
    <t>comment_lesty10</t>
  </si>
  <si>
    <t>comment_leu6oc3</t>
  </si>
  <si>
    <t>comment_lespndq</t>
  </si>
  <si>
    <t>post_1ebgi3r</t>
  </si>
  <si>
    <t>"¿Por qué usar únicamente correlaciones suele ser insuficiente para inferir relaciones causales?"</t>
  </si>
  <si>
    <t>"¿Por qué OLS tiene propiedades consideradas “óptimas” bajo ciertos supuestos, sin entrar en demostraciones formales?"</t>
  </si>
  <si>
    <t>"Por qué la correlación sola suele ser insuficiente para inferir causalidad\n- Confusión (confounding): una tercera variable C puede causar tanto X como Y; entonces X y Y estarán correlacionados aunque X no cause Y.\n- Causalidad inversa (reverse causation): puede ser Y → X en vez de X → Y, y la correlación no revela la dirección.\n- Causa común y vías indirectas: la relación observada puede ser indirecta (X → M → Y) o compartida por un mismo antecedente.\n- Sesgo de selección / colisión (selection/collider bias): condicionar o muestrear por variables relacionadas con ambas puede inducir correlaciones espurias.\n- Variación muestral y correlaciones espurias: pequeñas muestras o muchos tests producen correlaciones por azar.\n- Errores de medida y no linealidad: medidas ruidosas o relaciones no lineales pueden ocultar o falsear asociación.\n- Falta de prioridad temporal: para causalidad se necesita que la causa preceda al efecto; la correlación no garantiza esto.\n\nQué suposiciones hacen falta para pasar de correlación a causalidad (resumen)\n- No hay confusores no observados (strong ignorability / no unmeasured confounding) o disponer de instrumentos/naturales experimentos válidos.\n- Correcta especificación del modelo (función, interacciones).\n- SUTVA (no interferencia entre unidades) y positividad (existencia de variación en X para todos los subgrupos).\n\nMétodos para intentar estimar efectos causales (breve guía)\n- Experimentos aleatorizados (RCT): asignación aleatoria elimina confusión observada y no observada — estándar de oro.\n- Ajuste condicional / regresión con controles: bloquear confusores observados; útil solo si se observan todos los confusores importantes.\n- Propensity score matching/weighting: balancea covariables observadas entre tratados y controles.\n- Instrumental variables (IV): usar Z que afecta X pero no Y excepto por X; aplica cuando hay confusores no observados. Esquema (2SLS):\n  1) X_hat = regress(X ~ Z + controls)\n  2) effect = regress(Y ~ X_hat + controls)\n- Difference-in-differences (DiD): compara cambios en el tiempo entre grupo tratado y control ante supuesto de tendencias paralelas.\n- Regression discontinuity (RDD): usa corte (threshold) en variable de asignación que crea comparación local casi aleatoria alrededor del umbral.\n- Causal graphs / do-calculus (DAGs): formalizan supuestos y derivan conjuntos de ajuste para estimar efectos sin sesgo.\n- Natural experiments / eventos exógenos: aprovechar fuentes externas de variación (p.ej. cambios de política).\n\nEjemplo conceptual corto\n- Regresión simple (correlación): beta_hat = coef(lm(Y ~ X))\n  No garantiza causalidad por confusión/reverse causation.\n- IV (concepto): si Z válido, entonces 2SLS usa Z para obtener la variación exógena en X y estima efecto causal.\n\nConsejos prácticos\n- Empieza preguntando cuál es el supuesto causal razonable y si puedes verificarlo (p. ej. temporalidad, existencia de confusores).\n- Prefiere diseños que introduzcan exogeneidad (experimentos, RDD, IV, DiD) cuando quieras afirmar causalidad.\n- Reporta limitaciones y sensibilidad (p. ej. pruebas de robustez, análisis de sensibilidad a confusores no observados).\n\nEjemplo citado de discusión educativa\n- En foros académicos se menciona con frecuencia cómo correlaciones llamativas pueden salir por azar (p. ej. series cortas de tiempo) y se recomiendan métodos de inferencia causal (control, IV, DiD, RDD) cuando el objetivo es causalidad.\n\nSource URL:\nhttps://www.reddit.com/r/AskStatistics/comments/i5bvcu/if_correlation_does_not_equal_causation_then_why/"</t>
  </si>
  <si>
    <t>comment_g0r878h</t>
  </si>
  <si>
    <t>comment_g0ocwtp</t>
  </si>
  <si>
    <t>comment_g0r37n5</t>
  </si>
  <si>
    <t>comment_g0o33vc</t>
  </si>
  <si>
    <t>comment_go4dr8z</t>
  </si>
  <si>
    <t>comment_lzvgsox</t>
  </si>
  <si>
    <t>comment_kccmqxu</t>
  </si>
  <si>
    <t>comment_lon9m1h</t>
  </si>
  <si>
    <t>comment_mv0p7qi</t>
  </si>
  <si>
    <t>"Respuesta conceptual (clara y compacta):\n\n1) Definición básica\n- OLS (mínimos cuadrados ordinarios): estima β minimizando S(β) = Σ_i (y_i − x_i'β)^2. Es una regla de estimación basada en pérdida cuadrática; no necesita asumir una distribución específica de los errores para obtener la solución algebraica β̂ = (X'X)^{-1}X'y.\n- MLE (máxima verosimilitud): asume un modelo probabilístico para los errores y obtiene β maximizando la verosimilitud del conjunto de datos según esa distribución.\n\n2) ¿Cuándo coinciden OLS y MLE?\n- Si el modelo es y_i = x_i'β + ε_i con ε_i IID N(0, σ^2), la verosimilitud conjunta es\n  L(β,σ^2) ∝ (σ^2)^{-n/2} exp[−(1/(2σ^2)) Σ_i (y_i − x_i'β)^2].\n  La log-verosimilitud es (salvo constantes) −(1/(2σ^2)) Σ (y_i − x_i'β)^2 − (n/2) log σ^2.\n  Maximizar respecto a β es equivalente a minimizar Σ (y_i − x_i'β)^2. Por tanto, bajo errores normales IID, el estimador MLE de β coincide exactamente con el estimador OLS.\n- Consecuencia práctica: con normalidad se obtiene además la distribución exacta de β̂ (normal), lo que facilita pruebas t, intervalos, etc.\n\n3) Diferencias importantes y supuestos\n- Gauss–Markov: sin asumir normalidad, si E[ε|X]=0, Var(ε|X)=σ^2I (homocedasticidad y no autocorrelación) y no hay multicolinealidad perfecta, OLS es BLUE (mejor lineal insesgado). No requiere normalidad.\n- MLE agrega la asunción de normalidad para justificar inferencia exacta y eficiencia paramétrica (Cramér–Rao). Si la normalidad falla, el MLE para una distribución mal especificada puede ser inconsistente o ineficiente; OLS puede seguir siendo insesgado y BLUE si se mantienen las condiciones de Gauss–Markov.\n- Estimador de varianza: el MLE típico de σ^2 usa división por n (sesgado), mientras que la estimación de varianza insesgada en regresión usa n − p.\n\n4) Extensiones y correspondencias útiles\n- Si los errores siguen una distribución de Laplace, la MLE equivale a minimizar la suma de valores absolutos (LAD).\n- Ridge = solución MAP (MLE con prior gaussian sobre β): la penalización L2 aparece como prior normal.\n- Si hay heterocedasticidad o outliers conviene usar errores robustos, M-estimadores o especificar la verosimilitud correcta en MLE.\n\n5) Regla práctica para el modelador\n- Usa OLS como estimador básico; comprueba residuos (normalidad, heterocedasticidad).\n- Si necesitas inferencia exacta y la normalidad parece razonable, MLE y OLS coinciden y los tests clásicos son válidos.\n- Si hay dudas sobre la distribución de errores, prefiere inferencia robusta (SE robustos, bootstrap) o especifica una verosimilitud alternativa.\n\nEjemplo breve (fórmula clave):\n- Modelo: y = Xβ + ε, ε ~ N(0, σ^2 I) ⇒ log L(β) ∝ −(1/(2σ^2)) (y − Xβ)'(y − Xβ).\n- Maximizar log L ⇔ minimizar (y − Xβ)'(y − Xβ) ⇒ β̂_MLE = β̂_OLS = (X'X)^{-1}X'y.\n\nFuente (ejemplo citado): https://www.reddit.com/r/AskStatistics/comments/lnkzwi/linear_regression_assumptions/"</t>
  </si>
  <si>
    <t>"¿Cómo se entiende, a nivel conceptual, la relación entre mínimos cuadrados ordinarios (OLS) y máxima verosimilitud en regresión?",</t>
  </si>
  <si>
    <t>¿Tener más datos ayuda a que los coeficientes sean más estables cuando existe multicolinealidad? ¿Por qué?"</t>
  </si>
  <si>
    <t>"Respuesta corta\n- Sí: más datos suelen reducir la varianza absoluta de los coeficientes (errores muestrales), pero no «arreglan» la multicolinealidad estructural: la dependencia entre predictores mantiene la inestabilidad relativa de los coeficientes.\n\nFundamento matemático (esquemático)\n- Para un modelo lineal clásico: Var(β̂) = σ^2 (X'X)^{-1}. Aumentar n hace que X'X crezca aproximadamente proporcional a n, por lo que Var(β̂) decrece ~1/n.\n- Sin embargo, si X'X está mal condicionado (autovalores pequeños debido a predictores casi colineales), (X'X)^{-1} tiene entradas muy grandes. Eso significa que aunque Var(β̂) disminuya con n, el factor de inflación por colinealidad (p. ej. VIF = 1/(1 − R_j^2)) puede seguir dominando: para correlación entre dos predictores ρ, la varianza de β̂_j (con predictores estandarizados) escala como σ^2/(n(1−ρ^2)). Si ρ≈1, 1−ρ^2 es muy pequeño y la varianza sigue siendo grande.\n- Conclusión: más n ayuda (disminuye varianza absoluta), pero no elimina la inflación causada por fuertes correlaciones entre predictores; por tanto los coeficientes pueden seguir siendo numéricamente inestables y difíciles de interpretar.\n\nImplicaciones prácticas y recomendaciones\n- Si el interés es interpretación causal o importancia de variables: resolver la colinealidad (no solo aumentar n).\n  - Estrategias: eliminar/combinar variables redundantes, crear componentes (PCA) o variables compuestas, diseñar datos que rompan la dependencia (experimentos), usar regularización (ridge, lasso) que penaliza soluciones con varianzas enormes.\n- Si el interés es solo predicción: multicolinealidad suele ser menos problemática — modelos con regularización o incluso OLS con mucho n pueden predecir bien aunque los coeficientes individuales varíen.\n- Diagnóstico: calcular VIFs, número de condición de X'X, inspeccionar correlaciones entre predictores. Umbral típico: VIF &gt; 5–10 indica posible problema.\n\nEjemplo conceptual (fórmula breve)\n- Dos predictores estandarizados con correlación ρ:\n  Var(β̂1) ≈ σ^2 / (n (1 − ρ^2)).\n  Aquí se ve claramente que aumentar n disminuye la varianza, pero si ρ está muy cercano a 1 la varianza será grande a pesar de n.\n\nBreve pseudo-R para diagnóstico y alternativa (concepto)\n- Calcular VIFs: vif(lm(y ~ x1 + x2 + ...))\n- Probar ridge: glmnet::cv.glmnet(X, y, alpha = 0)\n\nFuente (ejemplo de discusión técnica y pedagógica):\nhttps://reddit.com/r/AskStatistics/comments/ndljlf/why_collinearity_reduces_the_accuracy_of_estimates_of_regression_coefficient_and_causes_standard_error_to_grow/"</t>
  </si>
  <si>
    <t>comment_jif5hyn</t>
  </si>
  <si>
    <t>comment_g8kgvos</t>
  </si>
  <si>
    <t>comment_gyrvkbn</t>
  </si>
  <si>
    <t>comment_gyrvsxa</t>
  </si>
  <si>
    <t>comment_gybfvdm</t>
  </si>
  <si>
    <t>"¿Cómo se entiende la idea de bias–variance y cómo ayuda a decidir entre modelos más simples o más complejos?"</t>
  </si>
  <si>
    <t>"Concepto central\n- Para el error de predicción (con pérdida cuadrática) se usa la descomposición:\n  E[(y − \\hat{f}(x))^2] = irreducible noise + Bias(\\hat{f})^2 + Var(\\hat{f}).\n  - Bias: diferencia entre la media de las predicciones del modelo (sobre distintos conjuntos de entrenamiento) y la función verdadera f(x). Alto bias = modelo demasiado simple (underfitting).\n  - Varianza: variabilidad de las predicciones del modelo cuando cambia la muestra de entrenamiento. Alta varianza = modelo demasiado flexible (overfitting).\n  - Ruido irreducible: variación intrínseca en y que no puede explicarse con x.\n\nSupuestos relevantes\n- Datos representativos e iid (o al menos similar distribución entre train/val/test).\n- La descomposición arriba es más directa con la pérdida cuadrática; para otras pérdidas el mismo trade-off conceptual aplica.\n- El conjunto de modelos (clase H) determina cuánto bias/varianza puede tener: modelos rígidos ⇒ bajo varianza, alto bias; modelos flexibles ⇒ bajo bias posible, alto varianza.\n\nDiagnóstico práctico (qué mirar)\n- Compara error de entrenamiento vs validación (o test):\n  - Alto error en entrenamiento y validación (similares): alto bias → aumentar COMPLEJIDAD o mejorar features.\n  - Bajo error en entrenamiento pero alto error en validación: alta varianza → reducir COMPLEJIDAD, regularizar o conseguir más datos.\n- Curvas de aprendizaje (error vs tamaño de entrenamiento):\n  - Si ambos errores disminuyen y convergen con más datos → el modelo tiene bias limitado; más datos ayudan.\n  - Si la brecha entre train/val persiste → varianza; más datos o regularización ayudan.\n\nRecetas para elegir/ajustar modelos\n- Si detectas alto bias (underfitting):\n  - Usar un modelo más complejo (p. ej. pasar de lineal a polinomial, aumentar profundidad de árbol).\n  - Añadir características (interacciones, transformaciones).\n  - Reducir la regularización (λ más pequeño).\n- Si detectas alta varianza (overfitting):\n  - Simplificar el modelo (menos parámetros, menor grado polinómico, limitar profundidad).\n  - Aumentar regularización (Ridge/Lasso, dropout en redes).\n  - Obtener más datos o usar técnicas de ensemblado (bagging reduce varianza).\n  - Hacer selección/ingeniería de features, usar cross-validation robusta.\n- Si no estás seguro, usa validación cruzada para comparar modelos por error de validación promedio.\n\nEjemplo conceptual (pseudocódigo)\n- Para una familia de modelos parametrizada por complejidad c:\n  1. Para cada c: obtener error_train(c) y error_val(c) por cross-validation.\n  2. Graficar error_train y error_val vs c.\n  3. Elegir c donde error_val es mínimo (balancea bias y varianza).\n- Esto prioriza generalización sobre ajuste al conjunto de entrenamiento.\n\nResumen práctico\n- El trade-off bias–variance te ayuda a decidir: no siempre el modelo más complejo es mejor; el objetivo es minimizar el error de validación (generalización).\n- Usa diagnóstico (train vs val, curvas de aprendizaje) y medidas prácticas (regularización, más datos, cambio de familia de modelos) para moverte en la dirección correcta según si predomina bias o varianza.\n\nSource URL:\nhttps://reddit.com/r/datascience/comments/lwibu7/mathematical_definition_of_the_bias_variance/"</t>
  </si>
  <si>
    <t>comment_gphzbk8</t>
  </si>
  <si>
    <t>comment_gpjxjh0</t>
  </si>
  <si>
    <t>comment_gpjyjgn</t>
  </si>
  <si>
    <t xml:space="preserve"> "¿Por qué la regularización cambia (sesga) los coeficientes y por qué ese sesgo suele considerarse aceptable en la práctica?"</t>
  </si>
  <si>
    <t>"1) ¿Por qué la regularización sesga los coeficientes?\n- Mecanismo: al añadir una penalización al objetivo de ajuste (p. ej. minimizar SSE + λ·penalización), el estimador obtiene una solución que equilibra ajuste a los datos y tamaño de los coeficientes. Ese “empuje” hacia coeficientes más pequeños causa sesgo sistemático respecto al estimador no penalizado.\n- Ejemplo matemático (Ridge): β̂_ridge = (X'X + λI)^{-1} X'y. Si los datos provienen de y = Xβ + ε, entonces\n  E[β̂_ridge] = (X'X + λI)^{-1} X'X β = (I + λ (X'X)^{-1})^{-1} β,\n  que no es igual a β salvo λ = 0 → hay sesgo hacia 0.\n- Lasso añade una penalización L1; además de sesgar, puede fijar algunos coeficientes exactamente a cero (selección de variables). Su sesgo no es lineal y es más difícil de escribir en forma cerrada.\n\n2) Interpretación bayesiana (intuición): Ridge = MAP con prior normal N(0, τ^2 I); Lasso ≈ MAP con prior Laplace (distribución doble exponencial). El prior “cree” que los coeficientes están cerca de 0, por eso el estimador resultante se mueve hacia 0.\n\n3) ¿Por qué es aceptable (y a veces deseable) ese sesgo?\n- Trade‑off sesgo‑varianza: el error medio cuadrático (MSE) de un estimador = sesgo^2 + varianza + ruido irreducible. La regularización aumenta el sesgo pero reduce la varianza; si la reducción de varianza compensa el aumento de sesgo, el MSE total baja → mejor rendimiento predictivo en datos nuevos.\n- Casos típicos donde ayuda: pocas observaciones, mucho ruido, predictores correlacionados o modelos con muchos parámetros. En esos escenarios OLS tiene alta varianza y regularizadores (Ridge/Lasso) mejoran MSE.\n- Resultados teóricos-prácticos: estimadores tipo shrinkage (p. ej. James–Stein) provan que estimadores sesgados pueden dominar al no sesgado en MSE para p≥3. En la práctica se observa (ej.: experimentos con muestras pequeñas) que Ridge puede dar menor error en test que OLS.\n\n4) Supuestos y precauciones\n- Escala de predictores: siempre estandarizar antes de aplicar penalizaciones que comparten λ entre coeficientes.\n- Objetivo: para predicción y reducción de error en new data la regularización suele ser adecuada; para estimación causal o inferencia (estimadores no sesgados de parámetros específicos, tests de hipótesis) el sesgo puede ser problemático.\n- Selección de λ: usar validación cruzada, criterios AIC/BIC adaptados o métodos bayesianos para elegir la penalización adecuada.\n- Multicolinealidad: Ridge es especialmente útil para estabilizar coeficientes cuando X'X es mal condicionada.\n\n5) Práctica (pseudocódigo breve para elegir λ)\n- estandarizar X\n- para cada λ en grilla:\n    - entrenar modelo penalizado en folds de CV\n    - calcular error medio en validación\n- elegir λ que minimiza error de CV\n- reentrenar el modelo en todo el conjunto con ese λ\n\n6) Resumen práctico\n- Regularizar = introducir una preferencia (preferir coeficientes pequeños) → sesgo.\n- Se acepta porque reduce la varianza y suele mejorar MSE y generalización, especialmente en problemas con pocos datos, mucho ruido o alta dimensionalidad.\n- Si tu meta es inferencia causal o estimadores sin sesgo, debes evaluar alternativas (reparametrizar, usar priors informativos bayesianos, o corregir el sesgo).\n\nFuente de ejemplo práctico y discusión (experimentos sobre por qué Ridge puede superar a OLS en muestras pequeñas): https://www.reddit.com/r/datascience/comments/1kyr1va/regularizationmagic/"</t>
  </si>
  <si>
    <t>post_1kyr1va</t>
  </si>
  <si>
    <t>comment_ln1zxh4</t>
  </si>
  <si>
    <t>comment_mw6dzwc</t>
  </si>
  <si>
    <t>comment_gpjlgj1</t>
  </si>
  <si>
    <t>"¿Qué limitaciones tiene evaluar métricas como el “predicted R²” en modelos jerárquicos o mixtos?"</t>
  </si>
  <si>
    <t xml:space="preserve"> "Limitaciones principales al evaluar un \"predicted R²\" en modelos jerárquicos/mix‑tos\n\n1) Dependencia entre observaciones (violación de independencia)\n- Un CV que particiona observaciones individualmente asume independencia; en datos jerárquicos esto produce filtrado de información (fuga de señal entre train/test) y sobreestimación del R² predictivo.\n- Ejemplo práctico: si quitas filas dentro del mismo grupo y mantienes el grupo en el conjunto de entrenamiento, el modelo puede usar efectos aleatorios estimados para “predecir” las filas retenidas, sesgando la métrica.\n\n2) Diferentes objetivos de predicción: dentro‑grupo vs nuevos grupos\n- Hay dos escenarios distintos de interés:\n  a) Predecir nuevas observaciones en los mismos grupos (condicional a efectos aleatorios estimados).\n  b) Predecir para grupos nuevos nunca vistos (generalización entre grupos).\n- “Predicted R²” sin aclarar el escenario es ambiguo: incluir efectos aleatorios en la predicción dará R² más alto (escenario a), pero no mide el rendimiento en nuevos grupos (escenario b).\n\n3) Uso de BLUPs / shrinkage de efectos aleatorios\n- Los efectos aleatorios estimados (BLUPs) sufren shrinkage; si los usas en test para grupos presentes en entrenamiento, obtienes predicciones infladas respecto a situaciones reales donde el grupo sería nuevo.\n- Para evaluar generalización a nuevos grupos hay que predecir marginalizando sobre la distribución de efectos aleatorios (i.e., con media cero y varianza estimada).\n\n4) Número pequeño o desequilibrio de clústeres\n- Pocos clústeres (o clústeres con tamaños muy dispares) producen estimaciones inestables de la varianza entre‑grupos y de las métricas de CV; el “predicted R²” puede variar mucho entre repeticiones.\n- LOOCV de clusters (dejar fuera un clúster a la vez) puede ser inestable con pocos clústeres.\n\n5) Métricas y modelos no lineales / enlaces\n- Para GLMMs (binomial, Poisson, etc.) el concepto de varianza explicada y R² no es directo por el enlace/varianza de la familia; las aproximaciones pueden ser inconsistentes entre paquetes.\n- R² marginal (solo efectos fijos) y condicional (fijos + aleatorios) de Nakagawa &amp; Schielzeth son más interpretables que un “predicted R²” genérico, pero requieren cuidado en GLMMs.\n\n6) Estrategia de partición y coste computacional\n- La partición adecuada es por clúster (k‑fold por clúster o leave‑one‑cluster‑out) para evaluar generalización entre grupos; esto incrementa el coste computacional, sobre todo si el ajuste es caro.\n- LOOCV obs-level vs cluster-level dan respuestas distintas; hay que elegir según la pregunta científica.\n\nRecomendaciones prácticas (qué hacer)\n- Define explícitamente el objetivo predictivo: ¿dentro de los mismos grupos o a grupos nuevos? Elige el esquema de CV acorde:\n  - Dentro‑grupo: CV que conserve la estructura de grupo (por ejemplo, particionar observaciones pero asegurándose de que los efectos aleatorios del grupo estén estimados en entrenamiento).\n  - Entre‑grupos (más conservador para generalización): k‑fold o LOOCV a nivel de clúster (dejar grupos enteros fuera).\n- Reporta siempre R² marginal y condicional además del “predicted R²” para clarificar contribución de efectos fijos vs aleatorios.\n- Si usas predicción condicionada con BLUPs, aclara que la métrica asume disponibilidad del efecto aleatorio del grupo en predicción.\n- Para GLMMs y modelos complejos, complementa R² con otras medidas (log‑likelihood, AIC/BIC, errores de predicción en la escala de interés, curvas ROC/PR para clasificación).\n- Estima incertidumbre de la métrica (bootstrap, repeticiones de CV) y evita conclusiones firmes si el número de clústeres es pequeño.\n\nEjemplo conceptual de partición (pseudocódigo)\n- Para evaluar generalización entre grupos:\n  1. Agrupa por id_grupo.\n  2. Hacer k‑fold sobre grupos (cada fold contiene grupos completos).\n  3. Para cada fold: ajustar modelo con grupos de entrenamiento; predecir en grupos de test marginalizando efectos aleatorios (o generando efectos aleatorios simulados).\n  4. Calcular R² (o MSE) en escala observada; promediar folds y reportar IC.\n\nEjemplo de buena práctica encontrada en discusiones educativas\n- Usuarios recomiendan usar LOOCV o k‑fold por clúster si la meta es predicción y, paralelamente, reportar R² marginal/condicional y tests de razón de verosimilitud para evaluar aporte de predictores (ejemplo práctico discutido en foros académicos).\n\nFuente (ejemplo de discusión que aborda estas ideas):\nhttps://www.reddit.com/r/AskStatistics/comments/hro5oe/can_we_calculate_a_predicted_r_squared_for_mixed/"</t>
  </si>
  <si>
    <t>comment_fyaw6co</t>
  </si>
  <si>
    <t>comment_fy7fv54</t>
  </si>
  <si>
    <t>comment_fy8dpdb</t>
  </si>
  <si>
    <t>"¿Para qué sirve un análisis de variable instrumental y en qué tipo de problemas se utiliza para aproximar relaciones causales en datos observacionales?"</t>
  </si>
  <si>
    <t xml:space="preserve"> "Qué es y para qué sirve\n- Un análisis de variable instrumental (IV) busca identificar el efecto causal de una variable explicativa X sobre un resultado Y cuando X está endógena (correlacionada con el término de error por confusión no observada, simultaneidad o errores de medida).\n- La idea: usar una variable Z (instrumento) que afecte X pero que no afecte Y por ningún otro camino distinto al que pasa por X. Si Z cumple los supuestos, permite “aislar” la variación exógena en X para estimar su efecto causal sobre Y.\n\nSupuestos clave (mínimos)\n1. Relevancia: Cov(Z, X) ≠ 0 — el instrumento explica una parte de la variación de X (se evalúa con la primera etapa; F-stat &gt; 10 como regla práctica).\n2. Exclusión: Z afecta Y solamente a través de X (no existe camino directo Z → Y distinto de X).\n3. Independencia (ignorabilidad): Z es independiente de los factores no observados que afectan Y (no está correlacionado con el término de error).\n4. Monotonía / consistencia (cuando se interpreta como LATE): no hay individuos que reaccionen en sentido opuesto al instrumento (opcional según el marco).\n\nInterpretación del estimador\n- Con un instrumento válido y usando métodos como 2SLS, el estimador IV típicamente identifica el LATE (Local Average Treatment Effect): el efecto causal para los “compliers” — la subpoblación cuya X cambia por el valor de Z.\n- No necesariamente iguala el ATE (efecto promedio en toda la población).\n\nCómo se estima (esquema práctico)\n- Two-Stage Least Squares (2SLS):\n  1) Primera etapa: X = α + π Z + γ W + v  (obtener X̂)\n  2) Segunda etapa: Y = β X̂ + δ W + ε  (β es el efecto causal estimado)\n- Para un instrumento binario simple, también se puede usar el estimador Wald: β_hat = (E[Y|Z=1] − E[Y|Z=0]) / (E[X|Z=1] − E[X|Z=0]).\n\nProblemas y verificaciones prácticas\n- Debilidad del instrumento: instrumentos débiles sesgan y aumentan varianza; comprobar F-stat de la primera etapa.\n- Exclusión no es directamente testeable; cuando hay &gt;1 instrumento se usan tests de sobreidentificación (Sargan/Hansen) como evidencia indirecta.\n- Interpretación local (LATE): documentar a qué subgrupo se aplica el resultado.\n- Sensibilidad: discutir plausible violación de exclusión o independencia (análisis de sensibilidad).\n\nTipos de problemas y ejemplos típicos\n- Estudios donde no se puede asignar tratamiento aleatoriamente y hay confusión no observada:\n  - Educación → ingresos: usar distancia a universidades o cambios en políticas educativas como instrumentos.\n  - Efecto del consumo de tabaco sobre salud: usar asignaciones de impuestos o normas que afectan el precio como instrumentos.\n  - Tomar medicamentos (adherencia) en encuestas: usar “encouragement” aleatorio (recordatorios) como instrumento para la toma real del tratamiento (ejemplo práctico en discusiones estudiantiles: asignación aleatoria Z que afecta la probabilidad de recibir X, y luego usar Z para instrumentar X).\n  - Draft lottery → servicio militar para estimar efecto del servicio sobre ingresos/estado de salud.\n- En econometría y ciencias sociales los IV son comunes cuando la variable de interés está afectada por selección o simultaneidad.\n\nEjemplo conciso (conceptual)\n- Supongamos Z = asignación aleatoria de un recordatorio (encouragement), X = toma del curso, Y = nota final. Si Z aumenta la probabilidad de tomar el curso (relevancia) y el recordatorio no afecta la nota salvo por aumentar la asistencia (exclusión), entonces Z puede instrumentar X y 2SLS proporciona el efecto causal de tomar el curso sobre la nota para quienes respondieron al recordatorio.\n\nReferencia (ejemplo de discusión encontrada)\nhttps://reddit.com/r/AskStatistics/comments/fclnec/what_does_beta_in_an_instrumental_variables_model_actually_tell_us/"</t>
  </si>
  <si>
    <t>post_fclnec</t>
  </si>
  <si>
    <t>comment_ma12lao</t>
  </si>
  <si>
    <t>comment_fjcpegc</t>
  </si>
  <si>
    <t>comment_fjczph2</t>
  </si>
  <si>
    <t>"¿Qué es el análisis exploratorio de datos (EDA) y proporciona un enlace a un proyecto real (por ejemplo en GitHub o un notebook público) donde se vea aplicado?",</t>
  </si>
  <si>
    <t>"Qué es EDA (Exploratory Data Analysis)\n- Definición breve: EDA es el conjunto de técnicas (estadísticas descriptivas, gráficos y resúmenes) cuyo objetivo es entender la estructura, patrones, anomalías y relaciones en los datos antes del modelado formal.\n- Objetivos prácticos: comprobar calidad de datos, identificar valores faltantes y outliers, entender distribuciones y correlaciones, generar hipótesis y guiar la ingeniería de variables.\n\nPasos y técnicas comunes\n1. Auditoría inicial\n   - Dimensiones, tipos de variables, porcentaje de missing, valores únicos por variable.\n2. Resúmenes univariantes\n   - Numéricas: media, mediana, IQR, desviación estándar; histogramas y boxplots.\n   - Categóricas: frecuencias, barras, tablas de contingencia.\n3. Análisis bivariante y multivariante\n   - Correlaciones (Pearson/Spearman), scatterplots, tablas cruzadas, violin/box por grupo.\n4. Calidad y limpieza\n   - Tratamiento de missing (imputación, eliminación), detección y decisión sobre outliers, corrección de tipos, normalizaciones/transformaciones.\n5. Visualización y narrativa\n   - Gráficos claros que respalden conclusiones; documentar hallazgos y supuestos.\n6. Preparación para modelado\n   - Crear/seleccionar variables, detectar multicolinealidad, escalado y codificación.\n\nSupuestos y advertencias importantes\n- EDA no requiere supuestos estadísticos estrictos, pero los resultados pueden depender de:\n  - Sesgo de muestreo (no generalizar si la muestra no es representativa).\n  - Mecanismo de missing (MCAR, MAR, MNAR) que condiciona la estrategia de imputación.\n  - Errores de medición o valores atípicos mal registrados.\n  - Escalas de medición (nominal vs ordinal vs continuo) que determinan técnicas de análisis.\n\nPequeño ejemplo conceptual (pseudocódigo con pandas/seaborn)\n- Cargar y revisar:\n  df.info(); df.describe(include='all'); df.isna().mean()\n- Univariado y bivariado:\n  sns.histplot(df['age']); sns.boxplot(x='pclass', y='age', data=df)\n- Agrupar e interpretar:\n  df.groupby('sex')['survived'].mean().sort_values(ascending=False)\n\nEjemplo real (notebook/proyecto público)\n- Proyecto de EDA sobre el dataset Titanic (contiene notebooks con limpieza, visualizaciones y hallazgos interpretativos):\n  https://github.com/VinayBN8997/Titanic-EDA\n\nFuente adicional que resume la idea de “conocer tus datos” y la orientación práctica de EDA:\n  https://www.reddit.com/r/dataanalysis/comments/13h1dr4/what_is_exploratory_data_analysis_eda/"</t>
  </si>
  <si>
    <t>post_16mhf9f</t>
  </si>
  <si>
    <t>"¿En qué situaciones Excel resulta insuficiente para el análisis de datos y por qué lenguajes como Python o R se vuelven necesarios desde el punto de vista de reproducibilidad y escalabilidad?\nAdemás, comparte un enlace a un recurso en línea (artículo, blog o repositorio) donde se muestre un ejemplo práctico comparando Excel con Python o R en un flujo de análisis real.\n"</t>
  </si>
  <si>
    <t>"1) Situaciones donde Excel resulta insuficiente\n- Volumen de datos: hojas con decenas o cientos de miles de filas (o límites explícitos de filas) producen lentitud, errores o imposibilidad de carga.  \n- Transformaciones repetitivas o complejas: cadenas de pasos manuales (filtrar, limpiar, unir tablas) son difíciles de registrar y repetir de forma fiable.  \n- Pipelines automatizados: tareas que deben ejecutarse periódicamente o integrarse en otros sistemas requieren automatización y programación.  \n- Control de versiones y auditoría: las fórmulas en celdas y cambios manuales no dejan un historial fácil de revisar ni de revertir por medio de VCS (git).  \n- Modelado estadístico/ML escalable: validación cruzada, tuning y uso de librerías avanzadas es más limitado o impráctico en Excel.  \n- Colaboración y despliegue: compartir resultados reproducibles y desplegarlos (APIs, dashboards automatizados, jobs en servidor) se complica con archivos .xlsx.\n\n2) Por qué Python o R (desde reproducibilidad y escalabilidad)\n- Reproducibilidad:\n  - Los pasos de limpieza y análisis se codifican como scripts o notebooks (ejecutables, revisables y documentables).  \n  - Se puede fijar la semilla aleatoria, registrar dependencias (requirements.txt / renv) y capturar el entorno (containers), lo que asegura que otros reproduzcan exactamente el resultado.  \n  - Integración con control de versiones (git) y tests unitarios para transformaciones críticas.\n- Escalabilidad:\n  - Manejo de datos fuera de memoria (p. ej. Dask, data.table, Spark) y conexión directa a bases de datos para consultas SQL eficientes.  \n  - Automatización y orquestación (cron, Airflow, GitHub Actions) para pipelines repetibles.  \n  - Acceso a ecosistema de librerías optimizadas para álgebra lineal, ML, visualización interactiva y procesamiento distribuido.\n\n3) Supuestos importantes cuando se migra a Python/R\n- Se asume que el entorno y versiones de paquetes están controlados (para reproducibilidad).  \n- El código debe ser determinista (semillas, no dependencia de estados externos sin registrar).  \n- Buenas prácticas de ingeniería de datos: modularidad, pruebas, documentación y logs.\n\n4) Ejemplo conceptual de flujo reproducible (pseudocódigo)\n- Estructura:\n  - data/raw/ (archivos originales)\n  - src/ (scripts: 01_load.py, 02_clean.py, 03_analyze.py)\n  - outputs/ (resultados y artefactos)\n  - requirements.txt o renv.lock\n- Pseudocódigo en Python:\n  - 01_load.py: leer_csv('data/raw/sales.csv') -&gt; guardar('data/interim/raw.parquet')\n  - 02_clean.py: df = leer('data/interim/raw.parquet') ; df = transformaciones(df) ; guardar('data/processed/clean.parquet')\n  - 03_analyze.py: df = leer('data/processed/clean.parquet') ; modelo = fit_model(df, seed=42) ; guardar_model(modelo,'outputs/model.pkl')\n  - Todo en git; tests en tests/test_transforms.py; ejecutar pipeline: python src/01_load.py &amp;&amp; python src/02_clean.py &amp;&amp; python src/03_analyze.py\n- Ventaja: cualquiera puede clonar el repo, instalar dependencias y ejecutar el pipeline idéntico.\n\n5) Recurso práctico con comparación y ejemplo\n- Un tutorial que compara un flujo de análisis en Excel frente a Python y muestra ventajas prácticas y pasos concretos: https://fromexceltopython.com/blog/python-vs-excel-for-data-analysis/\n\n6) Observaciones finales pedagógicas (resumen)\n- Usa Excel para análisis exploratorio rápido o presentaciones sencillas; usa Python/R cuando necesites reproducibilidad, automatización, manejo de grandes volúmenes, pruebas y despliegue.\n- Al migrar, prioriza: 1) codificar transformaciones, 2) controlar dependencias, 3) versionar y 4) automatizar ejecuciones.\n\nFuentes:\n- Discusión en foro que destaca límites de filas, fallos y la dificultad para documentar pasos manuales: https://www.reddit.com/r/dataanalysis/comments/1c2mxpu/why_use_r_or_python/  \n- Guía práctica comparativa: https://fromexceltopython.com/blog/python-vs-excel-for-data-analysis/"</t>
  </si>
  <si>
    <t>comment_kzuanny</t>
  </si>
  <si>
    <t>comment_kzqz486</t>
  </si>
  <si>
    <t>comment_kzbls1e</t>
  </si>
  <si>
    <t>comment_kzc6x1x</t>
  </si>
  <si>
    <t>comment_kzbe51g</t>
  </si>
  <si>
    <t>"¿Para qué se utiliza SQL en el análisis de datos y por qué suele considerarse una habilidad fundamental para un data analyst?\nAdemás, proporciona enlaces a uno o más recursos en línea (cursos, plataformas, repositorios o tutoriales) recomendados para aprender y practicar SQL desde cero."</t>
  </si>
  <si>
    <t>"Qué se usa SQL para en análisis de datos (resumen práctico)\n- Extracción y filtrado: recuperar exactamente las filas/columnas necesarias con SELECT, WHERE y condiciones (p. ej. para crear muestras o reports reproducibles).\n- Unión y modelado relacional: combinar tablas con JOIN para construir vistas analíticas (p. ej. juntar ventas, clientes y productos).\n- Agregación y resumen: GROUP BY, HAVING y funciones agregadas (SUM, AVG, COUNT) para métricas y KPIs.\n- Transformaciones y limpieza: CASE, COALESCE, CAST, funciones de fecha y subqueries para preparar datos antes del modelado.\n- Análisis avanzado en SQL: funciones ventana (ROW_NUMBER, RANK, LAG, LEAD) para series temporales, rankings y cálculos acumulados.\n- Rendimiento y escalabilidad: ejecutar cálculos en la base de datos evita traer grandes volúmenes a memoria; buen uso de índices y de diseño de consultas mejora tiempos.\n- Integración en pipelines y BI: SQL es la capa de extracción en ETL/ELT y se integra con herramientas BI (Tableau, Power BI, Looker) y lenguajes (Python/R).\n\nPor qué es una habilidad fundamental\n- Ubiquidad: la mayoría de organizaciones almacenan datos en bases relacionales o motores que aceptan SQL (Postgres, MySQL, BigQuery, Redshift, SQL Server).\n- Eficiencia: permite trabajar con grandes volúmenes sin cargar todo en memoria.\n- Reproducibilidad y trazabilidad: consultas versionables y compartibles entre analistas/equipos.\n- Base para otras tareas: muchos flujos analíticos, pruebas de hipótesis, dashboards y pipelines dependen de consultas SQL.\n- Valor en empleo: requisito recurrente en descripciones de puestos de Data Analyst y en entrevistas técnicas.\n\nFragmentos conceptuales de ejemplo (pseudocódigo)\n- Seleccionar y agregar ventas por mes:\n  SELECT DATE_TRUNC('month', sale_date) AS month,\n         COUNT(*) AS orders,\n         SUM(amount) AS revenue\n  FROM sales\n  WHERE sale_date BETWEEN '2024-01-01' AND '2024-12-31'\n  GROUP BY month\n  ORDER BY month;\n- Uso de ventana para ranking por cliente:\n  SELECT customer_id, order_id, amount,\n         ROW_NUMBER() OVER (PARTITION BY customer_id ORDER BY order_date DESC) AS rn\n  FROM orders\n  WHERE amount &gt; 0\n  -- luego filtrar rn = 1 para última orden por cliente\n\nRecursos recomendados para aprender y practicar SQL desde cero (ejemplos)\n- Cursos y libros recomendados por la comunidad:\n  - \"Complete SQL for Data Analytics and Business Intelligence\" (curso Udemy; recomendado en foros para roles de data analytics).\n  - \"SQL for Data Analysis\" (O’Reilly — libro/curso frecuentemente citado como buen punto de partida).\n- Consejos prácticos de aprendizaje:\n  - Empieza por SELECT, WHERE, JOIN y GROUP BY; luego añade subqueries y funciones ventana.\n  - Practica en entornos interactivos y en datasets reales (p. ej. Kaggle, ejercicios de plataformas).\n  - Resuelve problemas tipo entrevista en plataformas de práctica para afianzar rapidez y estilo (optimización de consultas).\n\nFuente(s) utilizadas (ejemplos de discusión comunitaria donde se recomiendan estos recursos):\n- https://reddit.com/r/dataanalysis/comments/1esdxgf/courses_to_learn_data_analysis/\n- https://reddit.com/r/dataanalysis/comments/1hc2zfn/best_resources_for_sql/\n- https://reddit.com/r/dataanalysis/comments/179duph/is_this_a_good_starting_point_to_learn_sql_for_data_analysis/"</t>
  </si>
  <si>
    <t>comment_lrch7n5</t>
  </si>
  <si>
    <t>comment_hoysh5w</t>
  </si>
  <si>
    <t>comment_m2bmcv1</t>
  </si>
  <si>
    <t>comment_k5dxo12</t>
  </si>
  <si>
    <t>post_179duph</t>
  </si>
  <si>
    <t>"¿Para qué se utiliza Docker en el trabajo de un data scientist y qué problemas ayuda a resolver en términos de reproducibilidad, colaboración o despliegue de modelos?\nAdemás, proporciona enlaces a recursos en línea (tutoriales, repositorios o guías) que muestren ejemplos de uso de Docker aplicados específicamente a proyectos de data science o machine learning.\n"</t>
  </si>
  <si>
    <t>"Qué aporta Docker a un proyecto de Data Science / ML (resumen pedagógico)\n- Reproducibilidad de entornos: Docker encapsula sistema operativo, librerías y versiones en una imagen. Si preservas el Dockerfile y ficheros de dependencias, cualquiera puede reconstruir exactamente el mismo entorno.\n- Aislamiento y gestión de dependencias: evita “works on my machine” al no instalar paquetes localmente y al controlar versiones (base image + requirements/lockfile).\n- Portabilidad / paridad Dev–Prod: la misma imagen que pruebas localmente puede desplegarse en servidores, CI/CD o Kubernetes sin reconfigurar paquetes.\n- Empaquetado de modelos y servicios: convierte modelo + código de inferencia en un servicio (p. ej. FastAPI, Flask, TorchServe, TF-Serving) listo para producción.\n- Orquestación y multi-servicio: con docker-compose o Kubernetes se combinan apps, bases de datos, colas y monitoring en entornos reproducibles para desarrollo y pruebas.\n- Colaboración y entrega continua: imágenes en un registry (Docker Hub, GitHub Container Registry) facilitan compartir entornos y automatizar despliegues/ pruebas en CI.\n- Experimentación aislada: ejecuta versiones alternativas de modelos o pipelines sin contaminar el sistema host.\n\nFlujo práctico típico (pasos clave)\n1) Definir Dockerfile que instale sólo lo necesario y use archivos de bloqueo (requirements.txt, poetry.lock).\n2) Probar localmente con docker build/run y orquestar dependencias con docker-compose en desarrollo.\n3) Guardar la imagen en un registry y desplegar la misma imagen en producción (Kubernetes, ECS, GKE) o ejecutar en un servidor con docker run.\n4) Para GPU, usar runtime nvidia (nvidia-docker / --gpus) y drivers compatibles en el host.\n\nEjemplos breves (esquema)\n- Dockerfile mínimo para servir un modelo con FastAPI:\n  FROM python:3.9-slim\n  WORKDIR /app\n  COPY requirements.txt .\n  RUN pip install -r requirements.txt\n  COPY . .\n  CMD [\"uvicorn\", \"app:app\", \"--host\", \"0.0.0.0\", \"--port\", \"80\"]\n\n- docker-compose (dev) que incluye app + db:\n  version: '3.8'\n  services:\n    app:\n      build: .\n      ports: [\"8000:80\"]\n      depends_on: [\"db\"]\n    db:\n      image: postgres:13\n      environment: POSTGRES_PASSWORD=secret\n\nBuenas prácticas y supuestos importantes\n- Pinnear versiones (base image tags, versiones de librerías); usar lockfiles para reproducibilidad.\n- Mantener imágenes ligeras (multi-stage builds, eliminar caches) para despliegues rápidos.\n- Tratar datos grandes fuera de la imagen: usar volúmenes, mounts o almacenamiento en la nube (no empaquetar datasets en la imagen).\n- Seguridad y secretos: no dejar credenciales en imágenes; usar variables de entorno/secret managers.\n- GPUs y drivers: requieren configuración del host (nvidia-docker) y compatibilidad de versiones CUDA/cuDNN.\n- No sustituye pruebas: sigue siendo necesario testing, validación de modelos y monitoreo en producción.\n\nRecursos prácticos y ejemplos aplicados a Data Science / ML\n- Docker for Data Science (tutorial hands-on, ejemplos de flujo completo): https://github.com/docker-for-data-science/docker-for-data-science-tutorial\n- Jupyter Docker Stacks (imágenes listas para notebooks, reproducibilidad de entornos interactivos): https://github.com/jupyter/docker-stacks\n- Guía paso a paso: desplegar modelos con Streamlit + FastAPI + Docker (ejemplo práctico): https://rihab-feki.medium.com/deploying-machine-learning-models-with-streamlit-fastapi-and-docker-bb16bbf8eb91\n- Conversaciones de la comunidad sobre casos de uso (bases, webapps, APIs, docker-compose): https://www.reddit.com/r/datascience/comments/128u7ci/what_do_data_scientists_use_docker_for/\n\nSource URLs:\nhttps://github.com/docker-for-data-science/docker-for-data-science-tutorial\nhttps://github.com/jupyter/docker-stacks\nhttps://rihab-feki.medium.com/deploying-machine-learning-models-with-streamlit-fastapi-and-docker-bb16bbf8eb91\nhttps://www.reddit.com/r/datascience/comments/128u7ci/what_do_data_scientists_use_docker_for/"</t>
  </si>
  <si>
    <t>comment_jekz6di</t>
  </si>
  <si>
    <t>comment_jeldgf7</t>
  </si>
  <si>
    <t>comment_jen5zf7</t>
  </si>
  <si>
    <t>comment_jekmliv</t>
  </si>
  <si>
    <t>comment_jemf6fc</t>
  </si>
  <si>
    <t>"¿Cuáles son las principales diferencias entre ggplot2 en R y las librerías de visualización más comunes en Python (como matplotlib o seaborn) cuando se trata de crear gráficos de calidad para presentación?\nAdemás, proporciona enlaces a recursos en línea (documentación, galerías de ejemplos o repositorios) donde se muestren ejemplos de visualizaciones “presentation-ready” hechas en Python. \n"</t>
  </si>
  <si>
    <t>"1) Resumen de las principales diferencias (en contexto de gráficos “presentation‑ready”)\n- Paradigma / API\n  - ggplot2: API declarativa basada en la Grammática de los Gráficos (mapping de estética + capas). Facilita razonar y reproducir gráficos complejos (faceting, capas, transformaciones).\n  - matplotlib: API imperativa (state machine) que da control muy fino; excelente para ajustes puntuales pero requiere más líneas y cuidado para consistencia.\n  - seaborn: capa de alto nivel sobre matplotlib con defaults agradables y funciones para plots estadísticos; combina comodidad y control.\n- Defaults y estilos\n  - ggplot2 tiene defaults orientados a publicaciones (márgenes, tipografías neutras, colores discretos).\n  - matplotlib por defecto es más “crudo”; necesita aplicar estilos (rcParams o estilos predefinidos) para alcanzar calidad de presentación.\n  - seaborn mejora los defaults automáticamente (paletas, grid) pero aún depende de matplotlib para exportar/ajustar.\n- Composición y capas\n  - ggplot2 facilita añadir/remover capas y mapping de forma declarativa (ej. añadir una geom_line encima de geom_point).\n  - En matplotlib la composición se hace paso a paso y gestionar capas/legendas puede ser más manual.\n- Temas, paletas y consistencia\n  - ggplot2 + paquetes (ggthemes, hrbrthemes) permiten estilos coherentes fácilmente.\n  - En Python hay equivalentes (seaborn.set_style / set_context, matplotlib stylesheets, mplstyle files), pero hay que aplicarlos conscientemente.\n- Interactividad y publicación\n  - Python tiene más opciones nativas para interactividad (Plotly, Bokeh, Altair) que facilitan presentaciones web/ dashboards.\n  - ggplot2 típicamente genera gráficos estáticos de alta calidad para PDFs/PowerPoint; para interactividad hay herramientas (plotly::ggplotly).\n- Export y reproducibilidad\n  - Ambos ecosistemas permiten exportar alta resolución. En Python: plt.savefig(dpi=300, bbox_inches='tight'); en R: ggsave(...).\n  - La reproducibilidad depende más del estilo de código y uso de templates/themes que de la librería.\n\n2) Checklist rápido para gráficos “presentation‑ready” (aplicable a R y Python)\n- Tipografía legible (tamaño de labels y ticks), evita fuentes por defecto pequeñas.\n- Paleta contrastada y accesible (considerar daltónicos).\n- Elimina “chartjunk”: bordes innecesarios, líneas de grid demasiado prominentes.\n- Leyenda clara y colocada fuera si cubre datos; títulos concisos/subtítulos informativos.\n- Proporción y tamaño pensados para la diapositiva o papel destino; exportar a alta resolución.\n- Anotar puntos clave o usar líneas de referencia para guiar la interpretación.\n\n3) Ejemplos de sintaxis comparativa (pseudocódigo)\n- ggplot2 (R)\n  - ggplot(df, aes(x, y, color=group)) + geom_point() + geom_line() + theme_minimal()\n- matplotlib / seaborn (Python)\n  - import seaborn as sns; sns.set_style('whitegrid'); sns.lineplot(data=df, x='x', y='y', hue='group'); plt.title('...'); plt.savefig('fig.png', dpi=300, bbox_inches='tight')\n\n4) Recursos y galerías con ejemplos “presentation‑ready” en Python\n- The Python Graph Gallery — centenares de ejemplos con código (matplotlib, seaborn, plotly): https://python-graph-gallery.com/\n- Matplotlib — Gallery oficial con ejemplos y código fuente: https://matplotlib.org/stable/gallery/index.html\n- Altair (Vega) — Gallery de ejemplos declarativos (útil para visuales limpias y reproducibles): https://altair-viz.github.io/gallery/index.html\n- Un hilo de discusión (ejemplo de experiencia de usuarios que comparan ggplot2 vs matplotlib/seaborn): https://www.reddit.com/r/datascience/comments/cc0zbl/ggplot_vs_matplotlib_seaborn_struggling_to_find/\n\nFuentes:\nhttps://python-graph-gallery.com/\nhttps://matplotlib.org/stable/gallery/index.html\nhttps://altair-viz.github.io/gallery/index.html\nhttps://www.reddit.com/r/datascience/comments/cc0zbl/ggplot_vs_matplotlib_seaborn_struggling_to_find/"</t>
  </si>
  <si>
    <t>post_cc0zbl</t>
  </si>
  <si>
    <t>comment_etkn7ic</t>
  </si>
  <si>
    <t>comment_etl4x9g</t>
  </si>
  <si>
    <t>comment_etjq9bq</t>
  </si>
  <si>
    <t>comment_etk6cu3</t>
  </si>
  <si>
    <t>"¿Por qué realizar análisis exploratorio de datos (EDA) directamente sobre datasets muy grandes suele ser ineficiente, y qué estrategias se utilizan para acortar el ciclo de exploración?\nAdemás, proporciona enlaces a recursos en línea (blogs, documentación o guías prácticas) donde se expliquen buenas prácticas para hacer EDA en datos de grandes volúmenes.\n"</t>
  </si>
  <si>
    <t>"Por qué es ineficiente hacer EDA directamente sobre datos muy grandes\n- I/O y memoria: leer todo el conjunto (disco → memoria) y materializar joins/transformaciones puede superar recursos y provocar swapping/largos tiempos.  \n- Coste por iteración: EDA es iterativo (filtrar, plotear, transformar). Cada iteración sobre todo el dataset cuesta mucho tiempo.  \n- Visualización no escalable: dibujar millones de puntos no aporta insight y es lento; las herramientas gráficas esperan datos reducidos.  \n- Cardinalidad alta y sparsity: estadísticas por fila y cálculos de correlación pueden ser prohibitivos en tiempo y memoria.  \n- Latencia de infraestructura distribuida: aunque Spark/BigQuery escalen, cada query tiene sobrecarga de planificación y lanzamiento que frena la exploración rápida.\n\nEstrategias para acortar el ciclo de exploración (prácticas comunes)\n1. Muestreo representativo\n   - Muestreo aleatorio simple o estratificado (por tiempo, categoría, cluster) para mantener distribuciones clave.  \n   - Validar que estadísticas (medianas, cuantiles, proporciones) del sample y del total estén alineadas.  \n   - Ejemplo SQL (estratificado por columna group_col):\n     SELECT * FROM (\n       SELECT *, ROW_NUMBER() OVER (PARTITION BY group_col ORDER BY RAND()) rn\n       FROM table\n     ) t WHERE rn &lt;= 1000;\n   - Supuesto: la muestra representa los patrones relevantes; revisar con agregados.\n\n2. Agregación / pre-aggregados\n   - Calcular contajes, sumas, medias por grupo (time window, categoría) y explorar estas agregaciones en vez de filas.  \n   - Mantener cubos/pre-aggregados (materialized views) para métricas frecuentes.\n\n3. Algoritmos aproximados y estructuras resumen\n   - Sketches: HyperLogLog (cardinalidad), t-digest (cuantiles), Count-Min Sketch (frecuencias). Permiten estimaciones rápidas con menor memoria.\n   - Útil para detectar outliers, rangos y frecuencias sin escanear todo.\n\n4. Procesamiento incremental y pipelines ETL\n   - Hacer EDA sobre ventanas recientes o sobre incrementos (delta) para entender cambios sin reprocesar todo.  \n   - Mantener tablas de métricas incrementales para inspección rápida.\n\n5. Infraestructura y formatos eficientes\n   - Formatos columnar (Parquet/ORC), particionado por fecha u otra clave, y compresión; así las lecturas son selectivas.  \n   - Indexado/ordenamiento (Z-order, Bloom filters) en data lakes para acelerar filtros.\n\n6. Computación distribuida y consultas interactivas\n   - Usar engines que permiten consultas interactivas (Presto, BigQuery, Spark SQL) para agregados rápidos; combinar con caching.\n   - Ajustar recursos/autoscaling si se necesita escanear por completo.\n\n7. Visualización a escala y \"progressive analytics\"\n   - Downsampling para scatter plots, heatmaps de densidad, binned plots e histograms basados en agregados.  \n   - Visual analytics progresiva: mostrar primero resumen grosero y refinar bajo demanda.\n\n8. Selección de features y reducción de dimensionalidad sobre muestras\n   - Calcular correlaciones, varianza y scores de importancia en muestras; hacer PCA/embedding sobre subset representativo antes de escalar.\n\n9. Caching y reutilización\n   - Cachear resultados intermedios (tablas temporales, views) que se usan repetidamente en la exploración.\n\n10. Automatización de EDA en pipelines\n   - Scripts/Notebooks reproducibles que corren sobre muestras y luego sobre producción cuando hay hipótesis definidas.\n\nBreve ejemplo en Spark (pseudocódigo)\n- muestreo estratificado:\n  sampled = df.stat.sampleBy(\"group_col\", fractions={\"A\":0.01,\"B\":0.01}, seed=42)\n- agregación rápida:\n  agg = df.groupBy(window(\"timestamp\",\"1 day\")).agg(count(\"*\"), avg(\"value\"))\n\nTrade-offs y supuestos importantes\n- Muestreo introduce sesgo si no es hecho correctamente (p. ej. no muestrear rare events). Validar usando agregados totales cuando sea posible.  \n- Algoritmos aproximados entregan error controlado; hay que conocer sus garantías.  \n- Pre-aggregar acelera EDA recurrente, pero aumenta complejidad operacional y latencia de frescura.\n\nRecursos prácticos y guías (ejemplos en línea)\n- Guía práctica Databricks: Exploratory data analysis on Databricks — herramientas y técnicas para EDA a escala\n  https://docs.databricks.com/aws/en/exploratory-data-analysis/\n- Artículo sobre diferencias EDA pequeñas vs grandes y mindset (muestreo, pensar en distribuciones):\n  https://medium.com/@gitanjalisoni/eda-for-small-datasets-vs-large-datasets-379679e1f5c9\n- Técnicas de agregación y pre-aggregation (data engineering):\n  https://blog.dataengineerthings.org/10-must-know-data-aggregation-techniques-to-supercharge-your-data-engineering-skills-ea451f54684a\n- Ejemplos y discusión práctica (foro / anécdotas sobre EDA y buenas prácticas):\n  https://reddit.com/r/dataanalysis/comments/13h1dr4/what_is_exploratory_data_analysis_eda/\n\nURLs de las fuentes utilizadas:\nhttps://docs.databricks.com/aws/en/exploratory-data-analysis/  \nhttps://medium.com/@gitanjalisoni/eda-for-small-datasets-vs-large-datasets-379679e1f5c9  \nhttps://blog.dataengineerthings.org/10-must-know-data-aggregation-techniques-to-supercharge-your-data-engineering-skills-ea451f54684a  \nhttps://reddit.com/r/dataanalysis/comments/13h1dr4/what_is_exploratory_data_analysis_eda/"</t>
  </si>
  <si>
    <t>comment_f919hnz</t>
  </si>
  <si>
    <t>"¿Por qué las variables categóricas de alta cardinalidad suelen ser difíciles de explorar y modelar, y qué enfoques se utilizan para representarlas? proporciona enlaces a recursos en línea (artículos, tutoriales o repositorios) donde se muestren ejemplos prácticos de cómo manejar variables categóricas de alta cardinalidad en problemas reales.",</t>
  </si>
  <si>
    <t>"Por qué son difíciles (resumen técnico)\n- Dimensionalidad y sparsidad: codificaciones tipo one‑hot generan muchas columnas mayormente cero → mayor coste computacional y riesgo de sobreajuste.  \n- Niveles raros/infreqüentes: muchas categorías aparecen pocas veces; su efecto es ruidoso y difícil de estimar.  \n- Fuga de información y sesgo: encodings que usan la variable objetivo (p. ej. mean/target encoding) pueden introducir leakage si no se regularizan o usan CV.  \n- Generalización: aparición de niveles nuevos en producción (OOV) requiere estrategias explícitas.\n\nEnfoques habituales (qué hacen, cuándo usarlos y advertencias)\n1. Agrupar/recodificar\n   - Combinar niveles raros en una categoría \"other\" o agrupar por jerarquía/domain knowledge. Útil como primer filtro.\n2. Count / Frequency encoding\n   - Reemplaza la categoría por su frecuencia absoluta o relativa. Simple, no provoca fuga, útil en modelos lineales y árboles.\n3. Target / Mean encoding (con regularización)\n   - Reemplaza por la media de la target condicional a la categoría. Requiere smoothing o K‑fold/leave‑one‑out para evitar leakage.\n   - Smoothing típico: encoded = (count*mean_cat + alpha*global_mean) / (count + alpha).\n4. Hashing trick (FeatureHasher)\n   - Mapea categorías a un espacio de dimensión fija por una función hash → controla dimensionalidad, pero hay colisiones (aceptable en muchos casos).\n5. Embeddings (entity embeddings)\n   - Aprender vectores densos por categoría usando redes neuronales (o como paso previo con modelos supervisados). Muy útil para millones de niveles y cuando hay relaciones latentes.\n6. One‑hot + reducción dimensional\n   - One‑hot seguido de PCA/SVD sobre la matriz sparse o usar técnicas como TruncatedSVD para reducir dimensiones.\n7. Model‑specific choices\n   - Árboles (XGBoost, LightGBM, CatBoost): suelen tolerar label/frequency encoding; CatBoost tiene su propia técnica de target encoding ordenada.  \n   - Modelos lineales/NN: prefieren embeddings o target encoding bien regularizado.\n\nBuenas prácticas operativas\n- Validación sin fuga: implementa K‑fold target encoding o out‑of‑fold para calcular estadísticas de entrenamiento y evitar leakage.  \n- Manejo de nuevos niveles: asignar \"other\" o una representación por defecto (p. ej. global mean o vector aleatorio normalizado).  \n- Regularización/alpha: para target encoding, elegir alpha según varianza de la categoría (pequeñas cuentas → mayor peso al global_mean).  \n- Comparar: prueba varios encodings y evalúa en validación realista (time‑split si aplica).  \n- Escalabilidad: hashing o embeddings para datasets masivos; count/target encoding es barato en memoria.\n\nFragmentos conceptuales (pseudocódigo)\n- Smoothing para target encoding:\n  - mean_global = mean(y)\n  - encoded(cat) = (count_cat * mean_cat + alpha * mean_global) / (count_cat + alpha)\n- Hashing (scikit‑learn style):\n  - hasher = FeatureHasher(n_features=2**16, input_type='string')\n  - X_hashed = hasher.transform(df['category'].astype(str))\n\nRecursos prácticos con ejemplos y notebooks\n- \"4 ways to encode categorical features with high cardinality\" (Towards Data Science) — explicación y ejemplos: https://towardsdatascience.com/4-ways-to-encode-categorical-features-with-high-cardinality-1bc6d8fd7b13/  \n- Notebook Kaggle: Encoding high cardinality categorical features (ejemplos en Python con varias técnicas): https://www.kaggle.com/code/aichabokbot/encoding-high-cardinality-categorical-features  \n- Artículo práctico (Medium): Handling High Cardinality Categorical Features — de lo básico a técnicas avanzadas (ejemplos y consejos): https://medium.com/@adnan.mazraeh1993/handling-high-cardinality-categorical-features-from-basics-to-super-advanced-45dd9949b31b  \n- Pregunta y respuestas con ejemplos en StackOverflow sobre codificar características con mucha cardinalidad: https://stackoverflow.com/questions/61585507/how-to-encode-a-categorical-feature-with-high-cardinality\n\nhttps://towardsdatascience.com/4-ways-to-encode-categorical-features-with-high-cardinality-1bc6d8fd7b13/"</t>
  </si>
  <si>
    <t>comment_l7utath</t>
  </si>
  <si>
    <t>comment_l8f9sj5</t>
  </si>
  <si>
    <t>comment_l7tkrmi</t>
  </si>
  <si>
    <t>comment_l89dffy</t>
  </si>
  <si>
    <t>comment_j45gvp1</t>
  </si>
  <si>
    <t>"¿Por qué las columnas que contienen listas de valores categóricos dificultan el análisis exploratorio de datos y el estudio de relaciones o correlaciones?\nMuestra enlaces a recursos que hable de cómo tratar este tipo de datos.\n"</t>
  </si>
  <si>
    <t>"Por qué dificultan EDA y cálculo de relaciones/correlaciones\n- No son variables escalares: una celda con una lista (p. ej. [\"A\",\"B\"]) es multi‑etiqueta; los métodos clásicos de correlación (Pearson, Spearman) suponen una sola observación por fila y tipo de dato adecuado.\n- Orden artificial y codificación errónea: usar LabelEncoder asigna números arbitrarios (introduce orden donde no existe), lo que produce correlaciones espurias.\n- Alta dimensionalidad y sparsidad: convertir listas en dummies produce una matriz muy ancha y dispersa, haciendo matrices de correlación enormes y ruidosas.\n- Pérdida de información de co‑ocurrencia: agregaciones simples pueden borrar relaciones entre elementos de la lista.\n- Medidas inapropiadas: muchas métricas para variables categóricas (Cramér’s V, χ2) requieren una tabla de contingencia bien definida; con multi‑etiquetas hay que transformar primero.\n\nCómo tratar este tipo de columnas (elige según objetivo: EDA vs modelado)\n1) Explode / normalizar registros (útil para EDA de co‑ocurrencia)\n- Idea: convertir cada (fila, categoría) en una fila separada.\n- Ejemplo (pandas): df = df.explode('col_lista')\n- Permite contar frecuencias, hacer tablas cruzadas y análisis de mercado (frecuencias por categoría, top‑k).\n\n2) Matriz binaria (multi‑hot) + medidas adecuadas\n- Convertir a matriz Rows x Categories con 0/1 (sklearn.preprocessing.MultiLabelBinarizer).\n- Para correlaciones entre etiquetas: usar coeficiente phi (Pearson sobre binarias también funciona para co‑ocurrencia), o Jaccard para similaridad de conjuntos.\n- Para correlaciones etiqueta vs numérico: comparar valor medio del target por etiqueta (groupby) o usar tests ANOVA/permute.\n\n3) Agregar características resumen\n- Nº de etiquetas por fila, presencia de top‑k categorías (flags), proporción de categorías raras. Reduce dimensionalidad y captura señal útil.\n\n4) Codificaciones para modelado\n- Target encoding / mean encoding: reemplazar categoría por la media del target para esa categoría (usar validación cruzada/suavizado para evitar fuga).\n- Frequency / count encoding: sustituir por frecuencia global o log(frequency).\n- One‑hot + reducción: aplicar TruncatedSVD / PCA en la matriz dispersa para bajar dimensionalidad manteniendo estructura.\n\n5) Embeddings y modelos que manejan sets\n- Aprender embeddings (entity embeddings) con redes; o usar algoritmos que aceptan listas (modelos de texto, redes neuronales, transformers, o técnicas tipo word2vec sobre co‑ocurrencias).\n- Útil cuando hay muchísimas categorías y relaciones complejas.\n\n6) Análisis de asociaciones y reglas de asociación\n- Usar Apriori / FP‑growth para encontrar patrones frecuentes y reglas entre items (útil para EDA tipo cesta de la compra).\n- Visualizaciones: upset plots, heatmaps de co‑ocurrencia, grafos de red entre categorías.\n\nMedidas y precauciones prácticas\n- No uses LabelEncoder para variables no ordinales; crea dummies o usa métodos más adecuados.\n- Si aplicas target encoding, hazlo dentro de un esquema de validación para evitar leakage (k‑fold smoothing).\n- Vigila la dimensionalidad: usa selección de features (top‑k, chi2 sobre binarias) o reducción (SVD, NMF).\n- Para interpretabilidad en EDA, prioriza visualizaciones de co‑ocurrencia y conteos antes de modelos complejos.\n\nPseudocódigo breve (pandas/sklearn)\n- Explode:\n  df_expl = df.explode('col_lista')\n- MultiLabelBinarizer:\n  from sklearn.preprocessing import MultiLabelBinarizer\n  mlb = MultiLabelBinarizer()\n  M = mlb.fit_transform(df['col_lista'])\n- TruncatedSVD en matriz dispersa:\n  from sklearn.decomposition import TruncatedSVD\n  svd = TruncatedSVD(n_components=20); X_red = svd.fit_transform(M)\n\nRecursos / lecturas (ejemplos)\n- Discusión sobre por qué LabelEncoder puede ser engañoso y recomendación de dummies/one‑hot:\n  https://www.reddit.com/r/datascience/comments/e2sl1n/a_guided_introduction_to_exploratory_data/\n- Sugerencia sobre manejar columnas categóricas con muchos niveles (one‑hot + reducción, target encoding):\n  https://www.reddit.com/r/datascience/comments/1dbptx7/best_way_to_handle_large_number_of_levels_for_a/"</t>
  </si>
  <si>
    <t>comment_f9cftal</t>
  </si>
  <si>
    <t>comment_f9cqq8v</t>
  </si>
  <si>
    <t>comment_jbtgwi9</t>
  </si>
  <si>
    <t>comment_jbtghbp</t>
  </si>
  <si>
    <t>"¿Qué es la suma de cuadrados (“sum of squares”) y por qué se utiliza tan frecuentemente como medida de error o desviación en métodos estadísticos como la regresión?\nAdemás, proporciona enlaces a recursos en línea que expliquen intuitivamente la suma de cuadrados y su relación con otras medidas de error."</t>
  </si>
  <si>
    <t>"¿Por qué un modelo de regresión múltiple tiende a tener menor suma de errores y mayor R² que un modelo con un solo predictor, incluso cuando los nuevos predictores aportan poca información?\nAdemás, proporciona enlaces a recursos en línea (artículos, visualizaciones o notebooks) que expliquen de forma intuitiva cómo agregar variables afecta el ajuste del modelo y el riesgo de sobreajuste.\n"</t>
  </si>
  <si>
    <t>"1) Definición intuitiva\n- Residuo: r_i = y_i − ŷ_i (diferencia entre observado y predicho).\n- Suma de cuadrados (SSE o SS_res): SSE = Σ_i (r_i)^2 = Σ_i (y_i − ŷ_i)^2.\n  Es la suma de las distancias al cuadrado entre observaciones y predicciones.\n\n2) ¿Por qué se usa con tanta frecuencia?\n- Evita la cancelación: residuos positivos y negativos se anulan si los sumas; al elevar al cuadrado todos los términos son no negativos, de modo que la medida refleja desviación total.\n- Penaliza errores grandes: el cuadrado hace que errores grandes pesen mucho más que errores pequeños, lo que es deseable si queremos evitar grandes fallos de predicción.\n- Conveniencia matemática:\n  - La función de pérdida cuadrática es diferenciable y convexa, lo que facilita optimización (derivar e igualar a cero produce ecuaciones lineales en regresión lineal).\n  - Bajo el supuesto de errores independientes e idénticamente distribuidos normales (ε_i ~ N(0, σ^2)), minimizar la suma de cuadrados equivale al máximo verosímil (MLE).\n- Relación con inferencia: la suma de cuadrados lleva a estadísticas con distribuciones bien conocidas (χ², F) que permiten pruebas y construcción de intervalos.\n\n3) Relación con otras medidas de error\n- MSE (Mean Squared Error): MSE = (1/n) Σ (y_i − ŷ_i)^2 = SSE / n.\n- RMSE (Root MSE): RMSE = sqrt(MSE). Mantiene unidades originales de y.\n- MAE (Mean Absolute Error): (1/n) Σ |y_i − ŷ_i|. Menos sensible a valores atípicos; no diferenciable en cero (por eso OLS es más fácil de optimizar).\n- Varianza: cuando ŷ_i es la media m = mean(y), SST = Σ (y_i − m)^2 (suma total de cuadrados). En regresión:\n  - SST = SSR + SSE, donde SSR es la suma de cuadrados explicada por el modelo.\n  - R² = SSR / SST = 1 − SSE / SST (fracción de varianza explicada).\n  \n4) Supuestos importantes al usar SSE como criterio\n- Si interpretas la minimización como MLE, debes asumir errores normales con media cero y varianza constante (homocedasticidad).\n- Sensible a outliers; si se esperan muchos outliers, medidas robustas (MAE, Huber loss) pueden ser preferibles.\n\n5) Cálculo simple (pseudocódigo)\n- residuos = y - y_hat\n- SSE = sum(residuos^2)\n- MSE = SSE / n\n- RMSE = sqrt(MSE)\n\n6) Intuición visual/ejemplo\n- Imagina puntos sobre una recta: sumar diferencias (y − ŷ) puede dar casi 0 si hay tantos puntos arriba como abajo; sumar sus cuadrados siempre da una cantidad positiva que refleja el \"ajuste global\". Los cuadrados enfatizan los puntos alejados de la recta.\n\nFuente (ejemplo de discusión educativa): https://reddit.com/r/AskStatistics/comments/s5uciw/what_is_sum_of_squares_and_why_is_it_used_so_often/"</t>
  </si>
  <si>
    <t>comment_ht0vsv4</t>
  </si>
  <si>
    <t>comment_ht0n6fm</t>
  </si>
  <si>
    <t>comment_hszwsnw</t>
  </si>
  <si>
    <t>post_s5uciw</t>
  </si>
  <si>
    <t>comment_ht1qb1r</t>
  </si>
  <si>
    <t>"Respuesta pedagógica y estructurada\n\n1) Resumen corto\n- R² = 1 − SSE/SST. Un modelo con más predictores no puede tener SSE mayor que un modelo anidado (con menos columnas): la proyección por mínimos cuadrados sobre un espacio de diseño más grande reduce (o mantiene) la norma del residuo. Por eso R² siempre no decrece al agregar variables, incluso si son irrelevantes por azar.\n\n2) Explicación matemática (breve)\n- Sea X1 la matriz de diseño del modelo simple y X2 = [X1, Z] la del modelo ampliado. Las predicciones son proyecciones de y sobre el espacio columna de X. Al aumentar ese espacio la proyección se acerca (o iguala) a y, luego ||y − P_X2 y||² ≤ ||y − P_X1 y||², por tanto SSE2 ≤ SSE1 y R²2 ≥ R²1.\n- Intuición estadística: en muestras finitas siempre hay correlaciones aleatorias entre variables; un predictor “irrelevante” puede explicar una fracción de varianza por azar y reducir SSE.\n\n3) Riesgo de sobreajuste y cómo detectarlo\n- Problema: aunque SSE baja en la muestra, el error de predicción fuera de la muestra puede aumentar (sobreajuste).\n- Herramientas para controlar esto:\n  - R² ajustado: penaliza por número de predictores y sólo sube si la contribución supera lo esperado por azar.\n  - Criterios de información (AIC, BIC): penalizaciones explícitas por complejidad.\n  - Validación cruzada (CV): estima rendimiento fuera de muestra; es la forma más fiable de detectar sobreajuste.\n  - Regularización (Ridge, Lasso, Elastic Net): reduce varianza y evita que predictores irrelevantes inflen el modelo.\n\n4) Consejos prácticos y reglas de oro\n- No confiar sólo en R² para seleccionar variables.\n- Usar CV para comparar modelos con distinto número de predictores.\n- Considerar R² ajustado y AIC/BIC como filtros iniciales, pero validar con CV.\n- Si hay muchas variables, preferir regularización o selección automática con CV.\n\n5) Demostración rápida (pseudocódigo en R) — útil para experimentar\n- Idea: ajustar modelo con x_true y luego agregar columnas de ruido; comparar R² y R² ajustado.\n  x &lt;- rnorm(n)\n  y &lt;- 2 + 3*x + rnorm(n, sd=1)\n  X_noise &lt;- matrix(rnorm(n * p_noise), n, p_noise)\n  model1 &lt;- lm(y ~ x)\n  model2 &lt;- lm(y ~ x + X_noise)\n  summary(model1)$r.squared\n  summary(model2)$r.squared\n  summary(model2)$adj.r.squared\n  # Repetir por simulación y evaluar CV para ver sobreajuste fuera de muestra\n\n6) Recursos para leer, visualizar y practicar (ejemplos y notebooks)\n- Explicación formal y discusión (StackExchange): por qué R² crece al agregar variables y prueba geométrica:\n  https://stats.stackexchange.com/questions/207717/why-does-r2-grow-when-more-predictor-variables-are-added-to-a-model\n- Introducción práctica a R² y R² ajustado (conceptos y cuándo usarlos):\n  https://builtin.com/data-science/adjusted-r-squared\n- Notebook / demostración práctica (R) que muestra overfitting y comparación de modelos:\n  https://www.kaggle.com/code/victorchernozhukov/r-notebook-linear-model-overfiting\n\nSource URLs:\nhttps://stats.stackexchange.com/questions/207717/why-does-r2-grow-when-more-predictor-variables-are-added-to-a-model\nhttps://builtin.com/data-science/adjusted-r-squared\nhttps://www.kaggle.com/code/victorchernozhukov/r-notebook-linear-model-overfiting"</t>
  </si>
  <si>
    <t>comment_mtdjd74</t>
  </si>
  <si>
    <t>comment_mtdy7sg</t>
  </si>
  <si>
    <t>comment_mtd8hfk</t>
  </si>
  <si>
    <t>comment_mtdowye</t>
  </si>
  <si>
    <t>comment_kc81ai1</t>
  </si>
  <si>
    <t>-</t>
  </si>
  <si>
    <t>Exactitud Conceptual (0-3)</t>
  </si>
  <si>
    <t>Fidelidad de fuentes (0-3)</t>
  </si>
  <si>
    <t>Utilidad / Relevancia (0-3)</t>
  </si>
  <si>
    <t>Fluidez (0-2)</t>
  </si>
  <si>
    <t>Gemini-2.5-Flash</t>
  </si>
  <si>
    <t>"El Análisis Exploratorio de Datos (EDA) es un enfoque para analizar conjuntos de datos que emplea principalmente técnicas visuales. El objetivo principal de EDA es resumir las características principales de los datos, a menudo con métodos visuales. También ayuda a los analistas a descubrir patrones, detectar anomalías, probar hipótesis y verificar supuestos con la ayuda de métodos estadísticos y representaciones gráficas.
Las actividades clave que se realizan durante el EDA incluyen:
Limpieza de datos: Identificar y manejar valores atípicos, valores faltantes o duplicados.
Transformaciones: Aplicar operaciones a los datos, como agregaciones, para prepararlos para el análisis.
Análisis descriptivo/univariado: Calcular estadísticas resumidas (media, mediana, desviación estándar) y visualizar la distribución de variables individuales (histogramas).
Análisis correlacional/bivariado: Examinar las relaciones entre dos variables, como matrices de correlación o gráficos de dispersión.
Visualizaciones: Utilizar gráficos (diagramas de caja, gráficos de barras, mapas de calor) para identificar tendencias y patrones.
Un ejemplo práctico mencionado en la comunidad académica es no solo detenerse en "2019 tuvo la mayor cantidad de ventas", sino profundizar en por qué y qué impulsó ese resultado, pensando en qué se le presentaría a un superior, en lugar de solo cumplir con ejercicios de codificación. El EDA es el paso donde se pueden descubrir suposiciones falsas sobre los datos o la necesidad de limpiar más a fondo el conjunto de datos antes de proceder con el modelado.
Source URLs: https://www.reddit.com/r/dataanalysis/comments/13h1dr4/what_is_exploratory_data_analysis_eda/"</t>
  </si>
  <si>
    <t>"El overfitting (sobreajuste) en modelos predictivos se produce cuando un modelo es demasiado complejo y se ajusta excesivamente a los datos de entrenamiento, capturando no solo los patrones relevantes sino también el ruido y las particularidades aleatorias de ese conjunto de datos específico. Como resultado, el modelo memoriza el conjunto de entrenamiento en lugar de aprender una relación generalizable.
Las características principales del overfitting son:
Alto rendimiento en el conjunto de entrenamiento: El modelo muestra una precisión o un rendimiento casi perfectos en los datos con los que fue entrenado.
Bajo rendimiento en el conjunto de prueba: El modelo falla al predecir o clasificar correctamente nuevos datos que no ha visto antes.
Un ejemplo común, mencionado en discusiones académicas, ilustra esto:
Imagina que estás construyendo un modelo para predecir el destino de los pasajeros en el Titanic utilizando variables como el puerto de embarque, la clase del pasaje, el sexo o la edad. Si para lograr un 100% de precisión en tu conjunto de entrenamiento, empiezas a añadir características irrelevantes como "¿llovía el día que nació el pasajero?" o "¿era zurdo el padre del pasajero?", estarías construyendo un modelo sobreajustado. Estas características modelarían el ruido y no la relación real, haciendo que el modelo sea inútil para predecir el destino de nuevos pasajeros. Otro ejemplo es ajustar una línea curva que pasa por absolutamente todos los puntos en un problema de regresión, en lugar de una línea recta que capture la tendencia general y minimice los errores cuadráticos. La línea curva se ajustará perfectamente al conjunto de entrenamiento, pero fallará estrepitosamente con nuevos datos.
Para abordar el overfitting, es esencial considerar el balance entre sesgo y varianza y técnicas de selección de modelos, buscando siempre variables relevantes para construir una hipótesis sólida mediante el análisis exploratorio de datos. Source URL: https://reddit.com/r/datascience/comments/1349yti/overfitting/"</t>
  </si>
  <si>
    <t>En el contexto de la regresión, 'leverage' e 'influencia' se refieren a dos aspectos distintos pero relacionados sobre cómo los puntos individuales en un conjunto de datos pueden afectar la estimación de la línea de regresión.
Leverage (Apalancamiento): El leverage de un punto de datos se refiere a la distancia que tiene ese punto en el espacio de las variables predictoras (X) respecto a la media de esas variables. Un punto tiene un alto leverage si sus valores de X están lejos del centro (la media) de los valores de X de todos los demás puntos. Piensa en ello como un sistema de palanca, donde el punto medio de tus datos (la media de X y la media de Y) es el fulcro. Cuanto más lejos esté un punto de este fulcro en el eje X, mayor será su "brazo de palanca".
Ejemplo: En una discusión sobre regresión, se usa la analogía de un sistema de palanca: "el promedio de las variables es el punto de apoyo (la tuerca), la distancia entre el punto de apoyo y un punto de datos es la longitud de la llave, y el término de error es el esfuerzo" (Source: https://www.reddit.com/r/AskStatistics/comments/1jea7l1/do_points_on_either_end_of_a_linear_regression/). Un punto de datos más alejado de la media de X tiene un mayor leverage.
Influencia: La influencia de un punto de datos se refiere a cuánto cambia la línea de regresión (sus coeficientes, pendiente e intercepto) cuando ese punto se incluye o se excluye del análisis. Un punto influyente es aquel que, si se elimina, alteraría significativamente la ecuación de regresión. La influencia es una combinación del leverage y el residuo (error) del punto.
Relación Leverage e Influencia: Un punto con alto leverage puede ser influyente, pero no necesariamente lo es. Si un punto tiene un alto leverage pero se ajusta bien a la tendencia general de los datos (es decir, tiene un residuo pequeño), puede que no sea muy influyente. Por otro lado, un punto con alto leverage y un residuo grande (es decir, está lejos de la línea de regresión predicha) será muy influyente, ya que "tirará" de la línea de regresión hacia sí mismo.
Ejemplo: Un usuario mencionó que en un gráfico de "observaciones influyentes", se vieron "dos observaciones con mucho mayor leverage que el resto pero con un residuo desproporcionadamente pequeño". Esto indica que son puntos lejanos que la línea de regresión ajusta de cerca, lo que sugiere que su influencia en la pendiente podría ser menor a pesar de su alto leverage (Source: https://www.reddit.com/r/AskStatistics/comments/oqvxil/i_build_a_predictive_model_but_the_prediction_is/).
Métricas para Evaluar la Influencia: Para cuantificar la influencia de un punto, existen métricas como la Distancia de Cook. Esta métrica combina la información del leverage y del residuo para proporcionar una medida única del impacto de cada observación en el modelo de regresión.
Ejemplo: Se recomienda "buscar la Distancia de Cook (existen otras también)" como una métrica para evaluar el leverage de varios puntos de manera numérica y sistemática (Source: https://www.reddit.com/r/AskStatistics/comments/1jea7l1/do_points_on_either_end_of_a_linear_regression/).
En resumen, el leverage mide la posición de un punto en el espacio de las variables predictoras, mientras que la influencia mide el impacto de ese punto en los parámetros estimados del modelo de regresión.</t>
  </si>
  <si>
    <t>comment_miqotsd</t>
  </si>
  <si>
    <t>comment_migyvpj</t>
  </si>
  <si>
    <t>"En el contexto de la regresión, 'ajustar por confusores' significa controlar estadísticamente el impacto de variables que podrían estar distorsionando la relación que te interesa estudiar entre otras dos variables. Imagina que quieres saber si el consumo de café (variable independiente) afecta el riesgo de una enfermedad cardíaca (variable dependiente). Sin embargo, sabes que fumar (un posible confusor) también está relacionado tanto con el consumo de café (muchos fumadores también beben café) como con las enfermedades cardíacas.
Si no ajustas por fumar, podrías concluir erróneamente que el café es un gran factor de riesgo para las enfermedades cardíacas, cuando en realidad, gran parte de esa relación aparente podría deberse a que los consumidores de café que estudias también fuman, y es el tabaquismo lo que realmente eleva el riesgo cardíaco.
Cuando "ajustas por confusores" en una regresión, lo que el modelo hace intuitivamente es:
Identificar la influencia del confusor: El modelo primero evalúa cómo la variable confusora (fumar) afecta a la variable dependiente (enfermedad cardíaca) y a la variable independiente (consumo de café).
Neutralizar su efecto: Luego, el modelo intenta "eliminar" o "mantener constante" estadísticamente el efecto de la variable confusora. Es como si estuviera comparando solo a personas con el mismo nivel de tabaquismo, o eliminando la parte de la variación en las enfermedades cardíacas que puede explicarse por fumar.
Observar la relación pura: Una vez que se ha neutralizado el efecto del confusor, el modelo puede observar la relación entre el consumo de café y las enfermedades cardíacas de una manera más "pura" o aislada. Esto te permite obtener una estimación más precisa del verdadero efecto del café, independientemente del hábito de fumar.
En esencia, al incluir una variable confusora en tu modelo de regresión, le estás diciendo al modelo que considere esa variable al calcular la relación entre tu variable principal independiente y tu variable dependiente, evitando así que el efecto del confusor se atribuya incorrectamente a la variable de interés.
Fuente: https://statisticsbyjim.com/regression/confounding-variables-bias/"</t>
  </si>
  <si>
    <t>Qué significa 'ajustar por confusores' en regresión?</t>
  </si>
  <si>
    <t>comment_fdjux6j</t>
  </si>
  <si>
    <t>comment_ltaj49y</t>
  </si>
  <si>
    <t>comment_gmv5y0y</t>
  </si>
  <si>
    <t>comment_kr4ydrg</t>
  </si>
  <si>
    <t>comment_gtglc6t</t>
  </si>
  <si>
    <t>"Un "hold-out set", también conocido comúnmente como conjunto de prueba (test set) o conjunto de validación (validation set) dependiendo del contexto específico de su uso, es una porción de tus datos originales que se reserva y no se utiliza durante el entrenamiento del modelo. Su propósito principal es evaluar la capacidad de tu modelo para generalizar y predecir resultados precisos en datos que nunca antes ha visto.
Se utiliza por las siguientes razones clave:
Evaluación Imparcial del Modelo: Proporciona una métrica objetiva del rendimiento del modelo en datos "nuevos", que es una representación más realista de cómo el modelo funcionará en escenarios del mundo real.
Detección de Sobreajuste (Overfitting): Si un modelo se desempeña muy bien en los datos de entrenamiento pero mal en el hold-out set, es un fuerte indicador de sobreajuste. Esto significa que el modelo ha aprendido el ruido y los detalles específicos de los datos de entrenamiento en lugar de los patrones generales.
Selección de Modelos y Ajuste de Hiperparámetros: En algunos flujos de trabajo, el hold-out set (como conjunto de validación) se utiliza para comparar diferentes modelos o para ajustar los hiperparámetros de un modelo. Una vez que se selecciona el mejor modelo y sus hiperparámetros, un test set final (otra porción separada, a menudo también llamada hold-out set) se usa para una evaluación definitiva.
En esencia, el uso de un hold-out set es una práctica crucial en ciencia de datos para asegurar la robustez y fiabilidad de los modelos predictivos, tal como se destaca en discusiones sobre cómo la falta de su uso puede llevar a consecuencias negativas, como el desperdicio de recursos.
Fuente: https://www.reddit.com/r/datascience/comments/kjo6qo/lack_of_hold_out_set_leads_to_state_wasting_365k/"</t>
  </si>
  <si>
    <t>comment_ghi93tx</t>
  </si>
  <si>
    <t>"La heterocedasticidad se refiere a la situación en un modelo de regresión donde la varianza de los errores (o residuos) no es constante a lo largo de todos los niveles de las variables predictoras. En términos más simples, la dispersión de los errores de tu modelo cambia a medida que los valores de las variables independientes cambian. Este es el opuesto de la homocedasticidad, que es un supuesto clave en la regresión lineal por mínimos cuadrados ordinarios (OLS).
¿Por qué importa en regresión?
Estimación ineficiente de los coeficientes: Aunque los estimadores OLS siguen siendo insesgados y consistentes en presencia de heterocedasticidad, ya no son los más eficientes (es decir, no tienen la varianza mínima).
Intervalos de confianza y pruebas de hipótesis incorrectas: La importancia principal radica en que los errores estándar estimados de los coeficientes de regresión serán incorrectos. Esto significa que:
Los intervalos de confianza para los coeficientes serán demasiado estrechos o demasiado amplios, llevando a conclusiones erróneas sobre la significancia estadística de las variables.
Las pruebas de hipótesis (como los valores p) serán inválidas, lo que podría llevar a rechazar o no rechazar la hipótesis nula incorrectamente. Como se menciona en un foro de discusión, esto implica que las pruebas de hipótesis y los intervalos de confianza no pueden ser fiables.
Causas comunes y ejemplos:
Variables omitidas: Puede ser el resultado de una variable importante no incluida en el modelo, cuya influencia se absorbe en el término de error.
Problemas de escala: Un ejemplo común es cuando se analizan datos de ingresos que incluyen tanto ciudades grandes (con mayor variabilidad de ingresos) como pequeñas (con menor variabilidad).
Cambios en el comportamiento: La variabilidad del error puede cambiar en diferentes rangos de las variables predictoras.
¿Qué se puede hacer?
Aunque la heterocedasticidad no hace que tu modelo sea "malo" en términos de predicción, sí afecta la fiabilidad de las inferencias estadísticas. Algunas soluciones incluyen:
Transformaciones de variables: Aplicar transformaciones (como la transformación logarítmica, por ejemplo, doble log) a la variable dependiente o a las predictoras para estabilizar la varianza de los errores.
Modelos separados: Si la heterocedasticidad se debe a diferencias fundamentales entre subgrupos en tus datos, podrías considerar modelar estas poblaciones por separado.
Errores estándar robustos (HC standard errors): Utilizar errores estándar robustos a la heterocedasticidad permite obtener inferencias válidas incluso en presencia de heterocedasticidad, corrigiendo los errores estándar sin alterar los coeficientes estimados.
Fuente: https://reddit.com/r/dataanalysis/comments/rmz6x9/heteroscedasticity_in_the_residual_of_this/"</t>
  </si>
  <si>
    <t>comment_hpq5zw3</t>
  </si>
  <si>
    <t>comment_ia3byji</t>
  </si>
  <si>
    <t>comment_hppzmq8</t>
  </si>
  <si>
    <t>comment_hppo7g4</t>
  </si>
  <si>
    <t>"En el ámbito de la ciencia de datos, la correlación y la causalidad representan dos tipos de relaciones entre variables con implicaciones muy distintas:
Correlación: Describe una relación estadística entre dos variables, indicando que se mueven juntas de alguna manera (en la misma dirección o en direcciones opuestas). Por ejemplo, un aumento en la venta de helados puede correlacionarse con un aumento en los ahogamientos. Sin embargo, esto no significa que el consumo de helado cause ahogamientos. La correlación no implica una relación de causa y efecto directa; puede haber una tercera variable (como la temperatura del verano) que influya en ambas.
Causalidad: Implica que un evento (la causa) contribuye directamente a la ocurrencia de otro evento (el efecto). Establecer la causalidad es más complejo y requiere cumplir con tres criterios principales:
Correlación: Las variables deben estar correlacionadas.
Orden temporal: La causa debe preceder al efecto en el tiempo.
Eliminación de factores de confusión: Deben descartarse otras explicaciones alternativas para la relación observada. Este es a menudo el requisito más difícil de satisfacer.
¿Por qué aún usamos regresión?
La regresión lineal (y otros modelos de regresión) es una herramienta esencial en la ciencia de datos, y su uso persiste a pesar de la advertencia de que "correlación no implica causalidad". Esto se debe a varias razones clave:
Predicción: Los modelos de regresión son extremadamente útiles para predecir el valor de una variable dependiente basándose en una o más variables independientes. Por ejemplo, se puede predecir el precio de una casa (variable dependiente) usando características como el número de habitaciones, tamaño y ubicación (variables independientes), sin necesariamente afirmar que estas características "causan" el precio en un sentido estrictamente causal, sino que están fuertemente relacionadas.
Identificación de relaciones: La regresión permite cuantificar la fuerza y dirección de las relaciones entre variables. Esto es valioso para comprender cómo los cambios en una variable están asociados con los cambios en otra.
Análisis causal (con precauciones): Aunque la regresión por sí sola no establece causalidad, es una herramienta fundamental en el análisis causal cuando se aplica correctamente y con una hipótesis causal sólida. Como se menciona en discusiones académicas, campos como la Inferencia Causal o la Econometría emplean la regresión con métodos avanzados (como variables instrumentales, regresión de discontinuidad o diferencias en diferencias) para intentar desentrañar efectos causales al controlar por variables confundidoras. Por ejemplo, un estudiante señaló que la regresión nos permite controlar por otras variables que podrían ofrecer una explicación alternativa para la relación observada. Si, después de incluir todos los posibles factores de confusión en una regresión, todavía se observa una relación fuerte entre X e Y (y se cumple el orden temporal), entonces se puede concluir razonablemente la causalidad.
En resumen, la regresión es una herramienta versátil que, si bien se utiliza a menudo para la predicción y para identificar correlaciones, también puede ser parte integral de un riguroso análisis causal cuando se complementa con un diseño experimental adecuado y técnicas avanzadas para abordar los factores de confusión.
Source URL: https://www.reddit.com/r/AskStatistics/comments/i5bvcu/if_correlation_does_not_equal_causation_then_why/"</t>
  </si>
  <si>
    <t>comment_g0odnx0</t>
  </si>
  <si>
    <t>comment_gcpzpai</t>
  </si>
  <si>
    <t>"SMOTE (Synthetic Minority Over-sampling Technique) es un algoritmo utilizado para balancear conjuntos de datos desequilibrados, donde una clase (la minoritaria) tiene significativamente menos ejemplos que la otra (la mayoritaria). En lugar de duplicar las muestras existentes de la clase minoritaria (como haría el oversampling simple), SMOTE crea nuevas muestras sintéticas. Lo hace seleccionando ejemplos de la clase minoritaria y, para cada ejemplo, encuentra sus vecinos más cercanos. Luego, genera nuevas muestras en la línea que conecta el ejemplo original con uno de sus vecinos.
Conviene usar SMOTE en las siguientes situaciones:
Cuando existe un desequilibrio de clases significativo: Por ejemplo, en escenarios como la detección de fraude (donde los casos de fraude son muy pocos) o el diagnóstico de enfermedades raras. Este desequilibrio puede hacer que un modelo de clasificación ignore la clase minoritaria, ya que optimizará su rendimiento en la clase mayoritaria.
Para mejorar el rendimiento del modelo en la clase minoritaria: Al aumentar la representación de la clase minoritaria, SMOTE ayuda al modelo a aprender mejor sus patrones, lo que lleva a una mejor capacidad de generalización y predicción para esta clase.
Cuando el undersampling de la clase mayoritaria podría resultar en pérdida de información valiosa: El undersampling implica reducir el número de ejemplos de la clase mayoritaria, lo que puede desechar datos importantes. SMOTE evita esto al enfocarse en aumentar la clase minoritaria.
Como alternativa a técnicas de muestreo básicas: Como se ha mencionado en discusiones, SMOTE es una opción más sofisticada que el simple oversampling o undersampling, que pueden tener resultados inconsistentes o alterar la distribución de los datos de manera menos controlada.
Sin embargo, es importante ser consciente de que SMOTE, al generar datos sintéticos, puede introducir cierto sesgo o ruido si no se aplica correctamente o si la clase minoritaria es muy ruidosa. En algunos casos, métodos como el ajuste de pesos de clase (scale_pos_weight) en los algoritmos de aprendizaje automático o una ingeniería de características más robusta podrían ser alternativas o complementos a considerar.
Source URL: https://www.nb-data.com/p/does-smote-add-noise-to-imbalanced"</t>
  </si>
  <si>
    <t>comment_lo6fgo4</t>
  </si>
  <si>
    <t>comment_lo5mpib</t>
  </si>
  <si>
    <t>"La diferencia práctica fundamental entre AUC-ROC y AUC-PR radica en cómo manejan el desequilibrio de clases y en qué aspectos del rendimiento del modelo priorizan:
AUC-ROC (Area Under the Receiver Operating Characteristic Curve):
¿Qué mide? Evalúa la capacidad de un modelo para distinguir entre clases, mostrando la Tasa de Verdaderos Positivos (TPR o Recall) frente a la Tasa de Falsos Positivos (FPR) en diferentes umbrales de clasificación.
Cuándo usarlo:
Conjuntos de datos balanceados: Es una métrica robusta cuando las clases tienen una representación similar.
Ambas clases son igualmente importantes: Cuando el costo de un falso positivo y un falso negativo son comparables.
Ejemplo: En un foro académico, se menciona el uso de la curva ROC para determinar un valor de umbral óptimo en un modelo de regresión logística para predecir la colaboración académica, buscando un equilibrio entre los falsos positivos y falsos negativos.
Características: Es menos sensible al desequilibrio de clases, ya que la FPR no se ve afectada por el número de negativos verdaderos, lo que puede dar una visión engañosa del rendimiento del modelo en casos de clases muy minoritarias.
AUC-PR (Area Under the Precision-Recall Curve):
¿Qué mide? Evalúa la calidad de las predicciones positivas del modelo, mostrando la Precisión frente al Recall en diferentes umbrales de clasificación. Es particularmente útil cuando la clase positiva es rara.
Cuándo usarlo:
Conjuntos de datos desequilibrados: Especialmente cuando la clase positiva es minoritaria y de gran interés (p. ej., detección de enfermedades raras, fraude). En estos casos, AUC-PR es generalmente una métrica más informativa y una mejor medida del rendimiento.
Costo asimétrico de errores: Cuando los costos de los falsos positivos y falsos negativos son muy diferentes, y es más crítico identificar correctamente la clase positiva.
Ejemplo: Si el objetivo es identificar transacciones fraudulentas (una clase minoritaria), un alto AUC-PR indica que el modelo es bueno tanto identificando fraudes (Recall) como asegurando que las alarmas de fraude sean genuinas (Precisión).
Características: Es más sensible a los cambios en el rendimiento con la clase minoritaria y proporciona una evaluación más realista en escenarios de desequilibrio de clases.
En resumen, si la distribución de clases en tu conjunto de datos es equilibrada o si la importancia de identificar correctamente ambas clases es similar, el AUC-ROC es una buena elección. Sin embargo, si estás trabajando con un conjunto de datos desequilibrado donde la clase positiva es rara o si el costo de los falsos positivos y falsos negativos es muy asimétrico, el AUC-PR te dará una imagen más precisa y útil del rendimiento de tu modelo.
Fuentes:
https://blog.alliedoffsets.com/boost-your-binary-classification-game-auc-roc-vs-auc-pr-which-one-should-you-use
https://leonidasgorgo.medium.com/understanding-roc-auc-and-pr-auc-c488faf45a16
https://www.reddit.com/r/MachineLearning/comments/at1egz/d_difference_between_auc_pr_vs_auc_roc/
https://www.reddit.com/r/datascience/comments/c81tc1/predicting_academic_collaboration_with_logistic/"</t>
  </si>
  <si>
    <t>comment_n96sv73</t>
  </si>
  <si>
    <t>"CUDA (Compute Unified Device Architecture) es una plataforma de computación paralela y un modelo de programación desarrollado por NVIDIA. Permite a los desarrolladores utilizar la potencia de procesamiento de las Unidades de Procesamiento Gráfico (GPU) de NVIDIA para acelerar tareas computacionalmente intensivas.
En el contexto de las Ciencias de Datos, CUDA es esencial porque:
Paralelización: Facilita la ejecución de múltiples cálculos simultáneamente, lo cual es ideal para algoritmos que procesan grandes conjuntos de datos o realizan operaciones repetitivas e independientes.
Aceleración: Permite que las aplicaciones aprovechen el poder de las GPU para acelerar significativamente el entrenamiento de modelos de aprendizaje automático y aprendizaje profundo, simulaciones complejas y análisis de datos a gran escala.
API y Herramientas: Proporciona un conjunto de herramientas de desarrollo, librerías y una Interfaz de Programación de Aplicaciones (API) que permite a los programadores escribir código que se ejecuta directamente en la GPU.
Un ejemplo práctico de su uso se ve en el entrenamiento de redes neuronales convolucionales (CNNs), donde las multiplicaciones de matrices y otras operaciones pueden paralelizarse eficientemente en la GPU utilizando CUDA, reduciendo drásticamente el tiempo de entrenamiento.
Source URLs: https://blogs.nvidia.com/blog/what-is-cuda-2/"</t>
  </si>
  <si>
    <t xml:space="preserve">"Para estructurar un proyecto de EDA que destaque en tu portafolio, considera los siguientes elementos clave:
Define el Objetivo y las Preguntas Clave: Antes de sumergirte en el código, establece claramente el objetivo de tu análisis y formula una serie de preguntas a las que deseas responder con los datos. Como se menciona en una discusión, "la clave para un EDA significativo es moverse con un propósito". Esto incluye preguntas sobre el problema que esperas resolver, los objetivos del proyecto y la calidad o consistencia del conjunto de datos.
Ejemplo: Si trabajas con datos de ventas, una pregunta podría ser "¿Qué factores influyen más en el volumen de ventas anual?"
Fuente: https://www.reddit.com/r/datascience/comments/1htfjez/whats_the_best_resources_to_be_better_at_eda/
Organización del Proyecto: Mantén una estructura de carpetas limpia y coherente. Un usuario compartió su enfoque para evitar que el EDA se convierta en "un desorden de garabatos locos", sugiriendo:
data/: Para tus conjuntos de datos brutos y procesados.
scripts/: Para tus archivos de código (por ejemplo, eda_ingestion.py, eda_numerical_analysis.py, eda_categorical_analysis.py).
notebooks/: Para tus Jupyter Notebooks u otros cuadernos interactivos.
outputs/: Para guardar los resultados del análisis.
charts_diagrams/: Para tus visualizaciones finales.
Fuente: https://www.reddit.com/r/datascience/comments/i3enx8/how_do_you_make_your_eda_workflow_sexy/
Proceso de Análisis Estructurado:
Introducción y Carga de Datos: Comienza con una breve descripción del conjunto de datos y carga los datos utilizando funciones o módulos dedicados para la limpieza inicial.
Análisis Descriptivo: Presenta un resumen estadístico de las variables y sus tipos de datos. Identifica valores faltantes, duplicados y atípicos.
Análisis Univariado: Explora cada variable de forma individual utilizando histogramas, box plots y gráficos de barras para entender su distribución y características.
Análisis Bivariado y Multivariado: Examina las relaciones entre pares de variables (gráficos de dispersión, mapas de calor para correlaciones) y, si es relevante, cómo múltiples variables interactúan entre sí.
Ingeniería de Características (si aplica): Si identificas la necesidad de crear nuevas características a partir de las existentes, demuéstralo como parte de tu proceso.
Visualizaciones Claras y Comunicativas: No se trata solo de crear gráficos, sino de que estos comuniquen tus hallazgos de la manera más clara posible. Una vez que hayas respondido tus preguntas, "cambia el enfoque. En lugar de pensar en la forma más sencilla de descubrir las respuestas, ahora pregúntate: ¿Cuál sería la forma más clara de presentar este hallazgo?"
Asegúrate de que cada gráfico tenga un título claro, etiquetas de ejes, leyenda (si es necesaria) y, si es posible, una breve descripción de la inferencia clave.
Fuente: https://www.reddit.com/r/datascience/comments/1htfjez/whats_the_best_resources_to_be_better_at_eda/
Conclusiones y Próximos Pasos: Resume tus hallazgos más importantes, las ideas clave obtenidas del análisis y cómo estos resultados podrían influir en futuras etapas del proyecto (por ejemplo, modelado predictivo, decisiones de negocio).
Código Limpio y Comentado: Tu código debe ser fácil de leer y entender. Utiliza comentarios para explicar decisiones complejas o pasos no obvios.
Al seguir esta estructura, tu proyecto de EDA no solo mostrará tus habilidades técnicas, sino también tu enfoque metódico y tu capacidad para traducir datos en conocimientos accionables." </t>
  </si>
  <si>
    <t>comment_m5fcxf6</t>
  </si>
  <si>
    <t>post_ttz8h6</t>
  </si>
  <si>
    <t>comment_g0bm1v2</t>
  </si>
  <si>
    <t>comment_m5hqed7</t>
  </si>
  <si>
    <t>"Para asegurar la validez y robustez de un modelo de regresión múltiple, se recomienda realizar los siguientes chequeos iniciales:
Linealidad: Verificar que existe una relación lineal entre las variables predictoras y la variable de respuesta.
Cómo chequear: Se pueden usar diagramas de dispersión (scatterplots) para visualizar la relación entre cada predictor y la variable dependiente, o entre los residuos y los valores predichos.
Ejemplo: Un estudiante mencionó el uso de scatterplots para probar la linealidad de los datos antes de la regresión múltiple, lo cual es una práctica común.
Normalidad de los residuos: Los residuos (errores del modelo) deben seguir una distribución normal.
Cómo chequear: Se pueden utilizar gráficos de probabilidad normal (Predicted-Probability-plots) o histogramas de los residuos. Aunque la fuente también menciona el uso de pruebas formales como Kolmogorov-Smirnov, se advierte que estas pruebas pueden ser "esencialmente inútiles" y que "en la práctica, solo prueban si el tamaño de la muestra fue lo suficientemente grande como para rechazar".
Nota: Es importante recordar que la normalidad se refiere a los residuos, no necesariamente a las variables en sí.
Homoscedasticidad: La varianza de los residuos debe ser constante en todos los niveles de las variables predictoras (es decir, la dispersión de los residuos debe ser similar a lo largo de todo el rango de valores predichos).
Cómo chequear: Graficar los residuos frente a los valores predichos. Un patrón aleatorio sin forma definida indica homoscedasticidad. Un patrón en forma de cono, por ejemplo, sugeriría heteroscedasticidad.
Ejemplo: Otro método es crear diagramas de dispersión de los residuos para probar la asunción de homoscedasticidad.
Ausencia de multicolinealidad: Las variables predictoras no deben estar altamente correlacionadas entre sí. Una alta multicolinealidad puede dificultar la interpretación de los coeficientes de regresión y aumentar sus errores estándar.
Cómo chequear: Calcular el Factor de Inflación de la Varianza (VIF) y la tolerancia para cada variable predictora. Valores de VIF altos (comúnmente &gt; 5 o &gt; 10) indican problemas de multicolinealidad.
Ejemplo: La utilización de VIF y las puntuaciones de tolerancia fueron explícitamente mencionadas como métodos para evaluar la multicolinealidad.
Independencia de los errores: Los residuos deben ser independientes entre sí. Esto es particularmente importante en series de tiempo, donde los errores pueden estar autocorrelacionados.
Cómo chequear: Se puede utilizar un gráfico de los residuos en el orden en que se recogieron los datos, o pruebas estadísticas como la prueba de Durbin-Watson. La fuente sugiere el uso de diagnósticos de casos donde solo se listaron casos con un residuo estandarizado mayor a 2 para probar la independencia de los errores.
Es crucial tener en cuenta que, si bien estos chequeos son importantes, la interpretación de los resultados debe ser cuidadosa y no depender únicamente de pruebas formales. Además, métodos como la regresión por pasos para la selección de variables no son recomendables, ya que pueden invalidar las pruebas estadísticas posteriores y sesgar los p-valores.
Source URL: https://reddit.com/r/AskStatistics/comments/l0n12q/multiple_regression_initial_checks_sufficient/"</t>
  </si>
  <si>
    <t>"La detección y el diagnóstico de outliers en un conjunto de datos de regresión implican una combinación de inspección visual y métodos estadísticos. A continuación, se presentan los pasos prácticos:
Pasos Prácticos para Detectar y Diagnosticar Outliers en un Set de Regresión
Inspección Visual Inicial (Análisis Exploratorio de Datos - EDA):
Gráficos de Dispersión (Scatter Plots): Permiten visualizar la relación entre las variables predictoras (X) y la variable respuesta (Y). Los puntos que se desvían significativamente del patrón general son posibles outliers.
Box Plots (Diagramas de Caja): Útiles para identificar outliers univariados en cada variable independiente. Los puntos que caen fuera de los "bigotes" del box plot son candidatos a outliers.
Gráficos de Distribución: Trazar la distribución de las características puede revelar valores extremos (Fuente: https://medium.com/@abhaysingh71711/outliers-in-data-science-a-comprehensive-guide-to-detection-and-treatment-0128a864cbb0).
Análisis de Residuos:
Gráficos de Residuos Estandarizados vs. Valores Predichos: En un modelo de regresión bien ajustado, los residuos deben estar distribuidos aleatoriamente alrededor de cero sin patrones claros. Los outliers a menudo se manifiestan como puntos con residuos estandarizados muy grandes (positivos o negativos).
Residuos Estandarizados o Studentizados: Estos residuos ajustan la varianza de los residuos y pueden ayudar a identificar outliers en la variable respuesta (Y) que el modelo no logra explicar.
Medidas de Influencia:
Apalancamiento (Leverage): Mide cuán "inusual" es el valor de una observación en el espacio de las variables predictoras (X). Puntos con alto apalancamiento pueden no ser outliers en Y, pero pueden ejercer una gran influencia en la línea de regresión (Fuente: https://www.theopeneducator.com/doe/Regression/outlier-leverage-influential-points). Un punto con un valor extremo en las variables independientes es un ejemplo de alto apalancamiento.
Distancia de Cook: Combina información de los residuos y el apalancamiento para medir el impacto general de una observación en la regresión. Un valor alto de la Distancia de Cook indica que la eliminación de esa observación cambiaría sustancialmente los coeficientes del modelo.
DFBETAS: Mide el cambio en el coeficiente de cada regresor cuando se elimina una observación específica.
DFFITS: Mide el cambio en el valor predicho de una observación cuando se excluye esa misma observación del cálculo del modelo.
Diagnóstico y Caracterización del Outlier:
Investigar las Causas: Si se identifica un outlier, es crucial examinar sus características y el contexto de los datos para determinar por qué es un outlier. ¿Son los valores de las variables independientes para ese outlier consistentes con el resto de los datos? (Fuente: https://reddit.com/r/AskStatistics/comments/uycp6w/what_to_do_in_case_of_hetroscadicity_in_multiple/).
Errores de Entrada: Puede ser un simple error de transcripción o medición.
Valores Genuinamente Extremos: La observación podría ser real, pero representa un evento raro o una subpoblación diferente.
Especificación Incorrecta del Modelo: Los outliers pueden ser un síntoma de que el modelo de regresión no está correctamente especificado, por ejemplo, si se omite una variable importante o la relación no es lineal (Fuente: https://reddit.com/r/AskStatistics/comments/uycp6w/what_to_do_in_case_of_hetroscadicity_in_multiple/).
Evaluación del Impacto y Consideración de Acciones:
Análisis con y sin Outlier: Una forma de diagnosticar la influencia es ajustar el modelo con y sin el outlier y observar las diferencias en los coeficientes y las métricas de rendimiento (Fuente: https://online.stat.psu.edu/stat462/node/172/).
Tratamiento de Outliers (Decisión Cautelosa):
Corrección o Remoción: Solo se justifica si se puede determinar con confianza que el outlier no pertenece a la población objetivo del estudio o si es un error (Fuente: https://reddit.com/r/AskStatistics/comments/uycp6w/what_to_do_in_case_of_hetroscadicity_in_multiple/). La remoción de datos debe hacerse con extrema cautela y justificación sólida.
Regresión Robusta: Técnicas como la regresión robusta (o regresión ponderada) pueden ser una alternativa a la eliminación de datos. Estas asignan un peso menor a los puntos influyentes, permitiendo mantener la integridad de los datos sin que el outlier desvíe la estimación central (Fuente: https://reddit.com/r/AskStatistics/comments/uycp6w/what_to_do_in_case_of_hetroscadicity_in_multiple/).
Transformación de Variables: En algunos casos, la transformación de variables (e.g., logaritmo) puede reducir el impacto de los outliers.
Modelos No Paramétricos: Si la presencia de outliers indica que las suposiciones de linealidad o normalidad no se cumplen, se pueden explorar modelos no paramétricos."</t>
  </si>
  <si>
    <t>"La secuencia segura de pasos para realizar EDA y el train/test split, evitando la fuga de datos, se basa en la distinción entre el EDA inicial y general y las transformaciones o selecciones de características que pueden introducir información del conjunto de prueba en el entrenamiento.
A continuación, se detalla la secuencia recomendada:
EDA Inicial (en el conjunto de datos completo):
Puedes realizar un EDA general para comprender la distribución de las variables, identificar valores atípicos y faltantes, y visualizar relaciones básicas entre las características. Este tipo de análisis exploratorio no debe modificar los datos de una manera que dependa de las estadísticas globales del conjunto de datos completo que luego se usarán en el modelo.
Ejemplo: Calcular la media, mediana, desviación estándar, o visualizar histogramas y diagramas de dispersión de las variables.
División del Conjunto de Datos (Train/Test Split):
Divide tus datos en conjuntos de entrenamiento y prueba antes de realizar cualquier procesamiento que derive información del conjunto de datos completo para crear nuevas características o imputar valores. Esta es la barrera más importante para prevenir el leakage.
Ejemplo: X_train, X_test, y_train, y_test = train_test_split(X, y, test_size=0.2, random_state=42).
EDA y Preprocesamiento Específico (Solo en el conjunto de entrenamiento):
Después de la división, todas las operaciones de preprocesamiento, como la imputación de valores faltantes, el escalado de características (normalización o estandarización), la ingeniería de características o la selección de características, deben realizarse únicamente en el conjunto de entrenamiento.
Los parámetros obtenidos de estas operaciones (por ejemplo, la media para imputación, los valores de escala, las características seleccionadas) deben aplicarse luego al conjunto de prueba.
Ejemplo:
Imputación de valores faltantes: Entrenar un imputador en X_train y luego aplicar transform tanto a X_train como a X_test.
Escalado de características: Entrenar un StandardScaler en X_train y luego usarlo para transformar X_train y X_test.
La razón principal para seguir esta secuencia es que si se realizan pasos como la imputación de valores faltantes utilizando la media de todo el conjunto de datos antes de la división, se estaría "filtrando" información del conjunto de prueba al conjunto de entrenamiento. Esto conduciría a métricas de rendimiento del modelo sobreestimadas y a un modelo que no se generalizaría bien a datos nuevos y no vistos.
Fuente: https://www.reddit.com/r/datascience/comments/123s4vh/eda_before_or_after_traintest_split/"</t>
  </si>
  <si>
    <t>post_1jaaor6</t>
  </si>
  <si>
    <t>comment_jdw4p1n</t>
  </si>
  <si>
    <t>"Para elegir transformaciones para variables en regresión utilizando validación, el enfoque principal es tratar la selección de transformaciones como un problema de optimización de hiperparámetros. Esto implica evaluar el rendimiento del modelo con diferentes transformaciones en un conjunto de datos de validación o prueba.
Aquí te presento los pasos y consideraciones clave:
División de Datos: Es fundamental dividir tus datos en conjuntos de entrenamiento y prueba (o entrenamiento, validación y prueba si es necesario). Las transformaciones deben aplicarse y los modelos deben entrenarse en el conjunto de entrenamiento, y su rendimiento evaluarse en el conjunto de prueba para obtener una estimación imparcial de la capacidad predictiva.
Tratamiento de Transformaciones como Hiperparámetros: Considera las diferentes opciones de transformación para tus variables (por ejemplo, logaritmo, raíz cuadrada, recíproco, Box-Cox, o transformaciones para variables categóricas como bucketing o dummies) como opciones dentro de un espacio de búsqueda de hiperparámetros.
Optimización de Hiperparámetros: Utiliza técnicas de optimización de hiperparámetros para explorar sistemáticamente diferentes combinaciones de transformaciones. Herramientas como Hyperopt permiten definir un espacio de búsqueda y probar inteligentemente distintas configuraciones. El objetivo es encontrar la combinación de transformaciones que maximice el rendimiento predictivo del modelo en el conjunto de prueba.
Ejemplo conceptual con Hyperopt: Imagina que tienes una variable X y quieres decidir entre una transformación logarítmica (log(X)) o de raíz cuadrada (sqrt(X)). En tu espacio de búsqueda de Hyperopt, podrías definir una elección para X entre estas dos transformaciones. El algoritmo probaría ambas, entrenaría el modelo y evaluaría su rendimiento en el conjunto de prueba.
Evaluación Basada en el Rendimiento Predictivo: La "mejor" transformación es aquella que resulta en el mejor rendimiento del modelo en el conjunto de prueba, utilizando métricas relevantes para tu problema de regresión (por ejemplo, R-cuadrado, Error Cuadrático Medio (RMSE), Error Absoluto Medio (MAE)).
Consideración de Supuestos de Regresión: Aunque la optimización se centra en el rendimiento predictivo, es importante recordar que las transformaciones también pueden ayudar a cumplir los supuestos de los modelos de regresión (linealidad, normalidad de los residuos, homocedasticidad). Aunque no sea el criterio principal de selección en este enfoque, un buen conjunto de transformaciones a menudo contribuye a un mejor cumplimiento de estos supuestos. Puedes consultar pruebas de supuestos para regresión como una guía inicial para la selección de transformaciones.
Al seguir este enfoque, te aseguras de que las transformaciones elegidas no solo se basen en heurísticas o análisis univariados, sino que contribuyan directamente a la mejora del poder predictivo de tu modelo de regresión.
Source URL: https://reddit.com/r/datascience/comments/1460ek4/how_do_you_find_the_best_transformations_linear/"</t>
  </si>
  <si>
    <t>comment_jno9yxm</t>
  </si>
  <si>
    <t>"Para mejorar un modelo lineal combinando regularización con feature engineering, se pueden seguir los siguientes enfoques:
Ingeniería de Características (Feature Engineering):
Transformación de Variables: Crear nuevas características a partir de las existentes para capturar mejor las relaciones no lineales o interacciones. Por ejemplo, transformar características categóricas en numéricas (one-hot encoding) o aplicar transformaciones logarítmicas a variables sesgadas. Como se menciona en un foro, se dedica mucho tiempo a la ingeniería de características y a hacer que las relaciones transformadas sean más lineales.
Creación de Interacciones: Generar términos de interacción multiplicando dos o más características existentes. Esto permite que el modelo capture cómo el efecto de una característica cambia según los valores de otra.
Polinomios: Introducir características polinómicas (por ejemplo, x², x³) para permitir que el modelo capture relaciones no lineales.
Regularización: Una vez que se han diseñado nuevas características, la regularización ayuda a gestionar la complejidad del modelo y a evitar el sobreajuste, especialmente cuando se introducen muchas características nuevas. Los tipos comunes de regularización para modelos lineales son:
Regularización L1 (Lasso): Añade la suma del valor absoluto de los coeficientes como penalización a la función de costo. Esto tiende a llevar algunos coeficientes a cero, realizando una selección de características implícita.
Regularización L2 (Ridge): Añade la suma de los cuadrados de los coeficientes como penalización. Esto reduce la magnitud de los coeficientes, distribuyendo el impacto de las características y siendo útil cuando muchas características tienen un peso similar.
Elastic Net: Combina las penalizaciones L1 y L2, ofreciendo un balance entre la selección de características de Lasso y la reducción de coeficientes de Ridge.
Ejemplo Conceptual: Imagina que estás prediciendo el precio de una casa (modelo lineal).
Sin Feature Engineering ni Regularización: El modelo podría usar area_total y numero_habitaciones directamente.
Con Feature Engineering: Podrías crear una nueva característica densidad_habitaciones (numero_habitaciones / area_total), o un término de interacción area_y_antiguedad (area_total * antiguedad_casa).
Con Regularización: Si tienes muchas características nuevas (incluyendo interacciones y polinomios), aplicar Lasso podría reducir a cero los coeficientes de las características menos importantes, simplificando el modelo y mejorando su generalización. Por ejemplo, en un comentario se sugiere "si estás atascado con modelos lineales, haz ingeniería de características y luego preocúpate por la regularización".
Al aplicar ambas técnicas, se busca construir un modelo lineal que no solo sea capaz de capturar relaciones complejas en los datos a través de características bien diseñadas, sino que también sea robusto y generalice bien a datos no vistos gracias a la penalización de la regularización.
Source URL: https://www.reddit.com/r/datascience/comments/15cskh6/how_to_improve_linear_regressionmodel_performance/"</t>
  </si>
  <si>
    <t>post_viey3c</t>
  </si>
  <si>
    <t>comment_humo7fl</t>
  </si>
  <si>
    <t>comment_idhc3da</t>
  </si>
  <si>
    <t>"Para comparar de forma justa distintos modelos de Machine Learning, como Regresión Logística, Random Forest y XGBoost, es crucial seguir una metodología estructurada que garantice la equidad y la robustez de los resultados. Aquí te detallo los pasos clave:
Preparación de Datos Consistente:
Mismo Conjunto de Datos: Todos los modelos deben ser entrenados y evaluados sobre el mismo conjunto de datos, preprocesado de la misma manera. Esto incluye la misma división en conjuntos de entrenamiento y prueba.
Escalado de Características: Algunos modelos, como la Regresión Logística, son sensibles a la escala de las características, mientras que otros, como Random Forest y XGBoost (modelos basados en árboles), no lo son. Para una comparación justa, aplica las transformaciones necesarias (ej., estandarización o normalización) a las características de entrada cuando sea pertinente para los modelos que lo requieran.
Sintonización de Hiperparámetros (Tuning):
Cada modelo tiene hiperparámetros que deben ser optimizados para alcanzar su mejor rendimiento. Técnicas como la búsqueda en cuadrícula (Grid Search) o la búsqueda aleatoria (Random Search) combinadas con validación cruzada son esenciales para encontrar la combinación óptima de hiperparámetros para cada modelo individualmente. Como se menciona en un foro, "se sintonizarían los dos mejores" (refiriéndose a Random Forest y XGBoost), lo que implica que cada modelo debe ser optimizado.
Validación Cruzada:
En lugar de una única división entrenamiento-prueba, utiliza la validación cruzada (ej., k-fold cross-validation) para obtener una estimación más robusta del rendimiento de cada modelo. Esto ayuda a reducir la varianza en las métricas de evaluación y proporciona una visión más fiable de la capacidad de generalización del modelo.
Selección de Métricas de Evaluación Apropiadas:
La elección de la métrica es crítica y depende del tipo de problema:
Clasificación (Regresión Logística, Random Forest, XGBoost):
AUC-ROC (Area Under the Receiver Operating Characteristic Curve): Excelente para problemas de clasificación binaria, especialmente con clases desequilibradas, ya que evalúa la capacidad del modelo para distinguir entre clases sin depender de un umbral específico.
Precisión (Accuracy): Útil cuando las clases están bien balanceadas.
F1-Score, Precisión y Recall: Importantes cuando hay un desequilibrio de clases o cuando los costos de falsos positivos y falsos negativos son diferentes.
Log Loss: Mide la incertidumbre de las predicciones de probabilidad de un modelo.
Regresión:
Error Cuadrático Medio (MSE), Error Absoluto Medio (MAE), R-cuadrado (R²).
Análisis Estadístico de los Resultados:
Una vez que tienes las métricas de rendimiento (ej., los puntajes de validación cruzada), es importante no solo comparar los valores promedio, sino también considerar si las diferencias son estadísticamente significativas. Se pueden utilizar pruebas estadísticas (como el test t de Student pareado o ANOVA) para determinar si la diferencia en el rendimiento entre dos modelos es probablemente real y no debido al azar. Una anécdota de un foro sugiere "ejecutar el modelo con muchas semillas y promediar los valores de las métricas", lo que reduce la variabilidad antes de la comparación.
Consideraciones Adicionales:
Tiempo de Entrenamiento y Predicción: Especialmente en entornos de producción, el tiempo que tarda un modelo en entrenarse y hacer predicciones puede ser un factor crucial.
Interpretabilidad: Modelos como la Regresión Logística son más interpretables que Random Forest o XGBoost. Si la explicabilidad es importante para tu proyecto, esto debe ser considerado.
Al seguir estos pasos, podrás realizar una comparación justa y rigurosa entre diferentes modelos de Machine Learning, permitiéndote tomar una decisión informada sobre cuál es el más adecuado para tu problema.
Source URLs:
https://machine-learning-made-simple.medium.com/how-to-properly-compare-machine-learning-models-b283c0abb3e3
https://neptune.ai/blog/how-to-compare-machine-learning-models-and-algorithms
https://www.reddit.com/r/MachineLearning/comments/ppbfpo/d_what_is_the_proper_way_to_compare_the/
https://www.reddit.com/r/datascience/comments/yj9u1l/logistic_regression_v_random_forest_v_xgboost/"</t>
  </si>
  <si>
    <t>comment_iuova75</t>
  </si>
  <si>
    <t>comment_iuoptvp</t>
  </si>
  <si>
    <t>comment_iupjlbo</t>
  </si>
  <si>
    <t>"Decidir la longitud óptima de la ventana en una regresión móvil para series temporales es un paso crítico que implica un equilibrio entre la adaptabilidad del modelo a los cambios recientes y la estabilidad de las estimaciones. Aunque no existe una fórmula universal, el enfoque general implica tratar la longitud de la ventana como un hiperparámetro a optimizar, priorizando la minimización del error de pronóstico fuera de muestra.
Aquí te presento un enfoque basado en las discusiones y prácticas comunes en el campo de las Ciencias de Datos:
Enfoque Iterativo y Evaluación Basada en el Error Fuera de Muestra:
Probar diferentes longitudes de ventana: Selecciona un rango de posibles longitudes de ventana (por ejemplo, 30, 60, 90, 120 periodos) que sean relevantes para la frecuencia de tus datos y la duración esperada de las dinámicas subyacentes.
Optimización basada en el error de pronóstico: Para cada longitud de ventana, ajusta la regresión móvil y calcula el error de pronóstico sobre un conjunto de datos "fuera de muestra" (out-of-sample). La longitud de ventana que resulte en el menor error de pronóstico será considerada la óptima. Es vital optimizar en el error fuera de muestra para evitar el sobreajuste.
Métricas de error: Utiliza métricas como el Error Cuadrático Medio (RMSE), Error Absoluto Medio (MAE) o Error Porcentual Absoluto Medio (MAPE), dependiendo de la naturaleza de tus datos y el objetivo del pronóstico.
Consideraciones sobre la Estructura de la Serie Temporal:
Estacionariedad y Quiebres Estructurales: Si la serie temporal exhibe quiebres estructurales o cambios significativos en sus propiedades estadísticas a lo largo del tiempo, una ventana más corta podría ser más apropiada para capturar estas dinámicas cambiantes. Por otro lado, si la serie es relativamente estable, una ventana más larga podría proporcionar estimaciones más robustas.
Frecuencia de los datos: La longitud de la ventana debe ser coherente con la frecuencia de tus datos (diaria, semanal, mensual, anual). Por ejemplo, en datos diarios, una ventana de 60 días podría representar aproximadamente 3 meses de datos de trading.
División de Datos (Training, Test, Validation):
Para una evaluación rigurosa, se recomienda dividir la serie temporal en conjuntos de entrenamiento, validación y prueba. El conjunto de entrenamiento se usa para ajustar el modelo, el de validación para optimizar hiperparámetros (como la longitud de la ventana), y el de prueba para una evaluación final imparcial del modelo óptimo.
La validación cruzada tradicional puede ser compleja de aplicar correctamente en series temporales debido a la dependencia temporal de las observaciones, por lo que a menudo se prefiere un enfoque de "validación hacia adelante" (forward-chaining cross-validation) o una división simple en segmentos.
En foros de discusión especializados, se ha mencionado que la determinación de la longitud óptima de la ventana es un parámetro más a optimizar, y que la clave reside en la optimización del error fuera de muestra.
Fuente URL: https://www.reddit.com/r/AskStatistics/comments/imthsy/rolling_regression_for_time_series_forecasting_is/"</t>
  </si>
  <si>
    <t>"Para construir un pipeline reproducible de ML con versionado de datos y modelos, se deben integrar prácticas y herramientas de MLOps que aseguren la trazabilidad de cada componente. Esto abarca desde el código hasta los datos y los modelos generados.
Los pasos clave incluyen:
Versionado de Código (Code Versioning):
Concepto: Todo el código del proyecto (scripts de preprocesamiento, entrenamiento, evaluación, etc.) debe ser gestionado con un sistema de control de versiones.
Implementación: Utiliza herramientas como Git. Cada cambio significativo debe ser commit-eado y las diferentes etapas del pipeline pueden asociarse a etiquetas (tags) o ramas específicas para una mejor organización. Esto asegura la reproducibilidad del entorno de desarrollo y ejecución del código.
Versionado de Datos (Data Versioning):
Concepto: Los conjuntos de datos, tanto los crudos como los procesados y los utilizados para entrenamiento y validación, deben ser versionados. Esto es vital para saber exactamente qué datos se usaron para entrenar una versión particular del modelo.
Implementación: Herramientas como DVC (Data Version Control) permiten versionar archivos de datos grandes, almacenando metadatos en Git y los datos reales en almacenamiento remoto (como S3, GCS, Azure Blob Storage). Esto te permite "retroceder en el tiempo" y acceder a cualquier versión anterior de tus datos, garantizando la reproducibilidad de los resultados del modelo. Según un comentario de un foro, aprender pipelines para la adquisición, agregación, ETL, limpieza y preprocesamiento es una habilidad esencial, y este proceso también debe ser versionado.
Fuente: https://medium.com/@sharetonschool/how-do-you-build-a-reproducible-ml-pipeline-data-model-code-06dc80ddfff7
Versionado de Modelos (Model Versioning):
Concepto: Una vez que un modelo es entrenado, se debe versionar junto con sus parámetros, métricas de rendimiento y el código y los datos con los que fue entrenado.
Implementación: Utiliza un registro de modelos (Model Registry) como MLflow Model Registry, DVC, o plataformas en la nube como AWS Sagemaker Model Registry, Google AI Platform. Estas herramientas permiten:
Almacenar diferentes versiones de modelos.
Registrar metadatos asociados (hiperparámetros, métricas de evaluación).
Transicionar modelos a través de diferentes etapas (staging, producción).
Fuente: https://www.dailydoseofds.com/mlops-crash-course-part-4/
Orquestación de Pipelines (Pipeline Orchestration):
Concepto: Un pipeline de ML es una secuencia de pasos (adquisición de datos, preprocesamiento, entrenamiento, evaluación) que se ejecutan de manera automatizada. La orquestación de pipelines asegura que estos pasos se ejecuten en el orden correcto y con las dependencias adecuadas, garantizando la consistencia.
Implementación: Herramientas como Apache Airflow, Kubeflow Pipelines o Argo Workflows permiten definir estos flujos de trabajo como Grafos Acíclicos Dirigidos (DAGs). Esto ayuda a estandarizar los procesos y, en combinación con el CI/CD (Integración Continua/Despliegue Continuo), automatiza la construcción y despliegue de los pipelines. Como se menciona en un ejemplo de estudiante, se puede gestionar el ciclo de vida completo de DS/ML con "Notebook → Containerized Py → DAG + CI/CD".
Fuente: https://mlops-guide.github.io/MLOps/Data/
Fuente: https://reddit.com/r/datascience/comments/1gxbrjj/how_do_you_mange_the_full_ds_ml_lifecycle_/
Al integrar estas prácticas, te aseguras de que cualquier persona pueda replicar tus resultados, entender las decisiones tomadas y mantener los modelos de ML de manera eficiente en entornos de producción."</t>
  </si>
  <si>
    <t>comment_h7ec2ke</t>
  </si>
  <si>
    <t>"La selección de características utilizando SHAP o la importancia por permutación implica evaluar la relevancia de cada característica para el modelo y luego elegir un subconjunto de las más influyentes. A continuación, se detalla un enfoque paso a paso para cada método:
1. Selección de Características Usando SHAP (SHapley Additive exPlanations)
SHAP se basa en los valores de Shapley de la teoría de juegos cooperativos para explicar la salida de cualquier modelo o predicción individual. Para la selección de características, nos enfocamos en la importancia global de las características.
Pasos:
Entrenar el modelo: Primero, entrena tu modelo predictivo (por ejemplo, Random Forest, XGBoost, un modelo de regresión lineal) en el conjunto de datos completo con todas las características.
Inicializar el explicador SHAP: Crea un objeto explicador SHAP. El tipo de explicador dependerá de tu modelo (por ejemplo, shap.TreeExplainer para modelos basados en árboles, shap.KernelExplainer para modelos agnósticos).
Ejemplo de un comentario en un foro de estudiantes: "Respecto a SHAP, si no entiendo mal, parece que compara cuánto contribuye cada característica a una predicción. ¿Significa esto que te muestra qué características son las más importantes en relación con las demás?" Esta idea es clave, ya que SHAP cuantifica la contribución de cada característica.
Calcular los valores SHAP: Calcula los valores SHAP para un subconjunto o para todo el conjunto de datos de entrenamiento/validación. Esto puede ser computacionalmente intensivo.
Calcular la importancia media absoluta de SHAP: Para la selección de características global, a menudo se usa el valor absoluto medio de SHAP para cada característica. Esto representa la magnitud promedio del impacto de una característica en la predicción.
shap.summary_plot(shap_values, X, plot_type="bar") te mostrará un gráfico de barras con la importancia global de las características.
Seleccionar características:
Umbral: Puedes establecer un umbral en los valores SHAP medios. Todas las características con una importancia SHAP media por encima de este umbral se seleccionan.
Número fijo: Selecciona las 'N' características principales con los valores SHAP medios más altos.
Evaluación iterativa: Entrena el modelo con el subconjunto de características seleccionadas y evalúa su rendimiento. Puedes ajustar el umbral o el número de características hasta encontrar un equilibrio óptimo.
2. Selección de Características Usando Importancia por Permutación
La importancia por permutación es una técnica modelo-agnóstica que mide cómo la aleatorización de los valores de una característica afecta el rendimiento del modelo. Una característica es importante si la mezcla de sus valores reduce significativamente el rendimiento del modelo.
Pasos:
Entrenar el modelo: Al igual que con SHAP, primero entrena tu modelo predictivo en el conjunto de datos completo.
Evaluar el rendimiento de la línea base: Calcula una métrica de rendimiento (por ejemplo, R-cuadrado, precisión, F1-score, RMSE) del modelo entrenado en un conjunto de datos de validación (o de prueba). Esta será tu métrica de referencia.
Permutar características y reevaluar: Para cada característica en el conjunto de datos:
Mezcla (permuta aleatoriamente) los valores de esa característica específica en el conjunto de datos de validación.
Mantén todas las demás características sin cambios.
Vuelve a calcular la métrica de rendimiento del modelo con este conjunto de datos modificado.
Calcular la importancia por permutación: La importancia de la característica es la diferencia entre la métrica de rendimiento de la línea base y la métrica de rendimiento después de la permutación. Una disminución mayor en el rendimiento indica una característica más importante. Puedes repetir este proceso varias veces para cada característica y promediar los resultados para mayor estabilidad.
Un resultado de búsqueda web lo resume así: "Una puntuación más alta indica que la característica es más importante, ya que permutar sus valores tiene un mayor impacto en el rendimiento del modelo."
Seleccionar características:
Umbral: Similar a SHAP, puedes establecer un umbral en la disminución del rendimiento. Las características que causan una disminución por encima de este umbral son las seleccionadas.
Número fijo: Selecciona las 'N' características que, al ser permutadas, causan la mayor caída en el rendimiento del modelo.
Consideraciones: Es importante tener en cuenta las posibles dependencias entre características. Si dos características importantes están altamente correlacionadas, la permutación de una puede no mostrar un gran impacto si la otra característica todavía proporciona información similar.
Fuentes:
https://reddit.com/r/datascience/comments/bw2i8a/xgboost_feature_selection/
https://reddit.com/r/datascience/comments/17kfjr0/is_there_any_utility_in_using_shap_values_for/
https://medium.com/@mukherjee.abhradeep/feature-selection-and-feature-importance-section-ii-a8cb713b5b22"</t>
  </si>
  <si>
    <t>comment_k8gv4sh</t>
  </si>
  <si>
    <t>"Para verificar las suposiciones básicas de la regresión lineal, es fundamental realizar un análisis diagnóstico exhaustivo. A continuación, se detallan las suposiciones clave y los métodos para su verificación:
Linealidad: Asume que la relación entre las variables predictoras (independientes) y la variable de respuesta (dependiente) es lineal.
Verificación: Se puede evaluar visualmente mediante diagramas de dispersión de cada variable predictora contra la variable de respuesta. Más formalmente, se examina el gráfico de residuos frente a los valores predichos (o valores ajustados). Un patrón aleatorio de puntos alrededor de la línea horizontal de cero sugiere linealidad.
Independencia de los Errores (Ausencia de Autocorrelación): Se asume que los residuos (errores) del modelo son independientes entre sí. Esto es especialmente importante en datos de series temporales.
Verificación: Se puede observar un gráfico de los residuos versus el orden de recolección de los datos (si aplica) o versus las variables independientes. La prueba de Durbin-Watson es un método estadístico común para detectar la autocorrelación, donde un valor cercano a 2 indica independencia.
Fuente: https://godatadrive.com/blog/basic-guide-to-test-assumptions-of-linear-regression-in-r
Homocedasticidad (Varianza Constante de los Errores): Se asume que la varianza de los errores es constante en todos los niveles de las variables predictoras.
Verificación: Se evalúa mediante el gráfico de residuos estandarizados frente a los valores ajustados. Una dispersión aleatoria y uniforme de los puntos alrededor de la línea de cero indica homocedasticidad. Si se observa un patrón en forma de embudo o cono, la homocedasticidad podría estar violada.
Fuente: https://reddit.com/r/AskStatistics/comments/1ogevlk/assumptions_of_linear_regression/
Normalidad de los Errores: Se asume que los residuos del modelo siguen una distribución normal.
Verificación: Esto se puede comprobar examinando un histograma de los residuos para ver su forma. Los gráficos Q-Q (cuantil-cuantil) de los residuos son una herramienta visual más precisa, donde los puntos deben seguir aproximadamente una línea recta diagonal. Para un análisis más riguroso, se pueden usar pruebas estadísticas como la prueba de Kolmogorov-Smirnov.
Fuente: https://www.statisticssolutions.com/free-resources/directory-of-statistical-analyses/assumptions-of-linear-regression/
¿Qué hacer si las suposiciones se violan? Si se detectan violaciones de las suposiciones, existen varias estrategias:
Transformaciones de datos: Aplicar transformaciones (como logarítmica o de raíz cuadrada) a las variables puede ayudar a corregir problemas de no linealidad, heterocedasticidad o no normalidad de los errores.
Métodos robustos: En algunos casos, se pueden utilizar métodos como Winsorization o bootstrapping para evaluar si las violaciones de las suposiciones afectan significativamente los resultados de la regresión. Si los resultados son consistentes con estos enfoques, es una buena señal de que las violaciones no son inherentemente problemáticas.
Fuente: https://reddit.com/r/AskStatistics/comments/1gmfzmd/can_i_perform_simple_linear_regression_to_this_data_is_it_linear_or_not_how_can_i_understand/
Modelos alternativos: Si las violaciones son severas y no se pueden corregir, podría ser necesario considerar modelos de regresión alternativos que no requieran estas suposiciones, como los modelos lineales generalizados (GLM) o métodos no paramétricos."</t>
  </si>
  <si>
    <t>comment_lt3z4d0</t>
  </si>
  <si>
    <t>comment_lw3corr</t>
  </si>
  <si>
    <t>"Si un outlier es real pero tiene una alta influencia en el modelo, la estrategia no debe ser simplemente eliminarlo, ya que esto podría resultar en una pérdida de información valiosa o una representación incompleta del fenómeno. En su lugar, se deben considerar enfoques que mitiguen su impacto sin descartar el dato.
Aquí hay algunas estrategias a seguir:
Investigar la causa del outlier: Aunque sea "real", es fundamental entender por qué ese punto es atípico. Podría indicar una subpoblación no considerada, un evento raro pero legítimo, o la necesidad de incorporar variables adicionales al modelo. Como se menciona en una discusión, los outliers en estudios controlados pueden señalar un experimento mal diseñado, o en estudios observacionales, son más difíciles de manejar y podrían indicar variables de confusión subyacentes.
Modelos de Regresión Robusta: Estos modelos están diseñados para ser menos sensibles a la presencia de outliers influyentes. A diferencia de la regresión OLS (Mínimos Cuadrados Ordinarios), que es muy susceptible a puntos extremos, la regresión robusta asigna pesos más bajos a las observaciones con grandes residuos o alto apalancamiento (influencia). Esto permite que el outlier permanezca en el conjunto de datos, pero su impacto en los coeficientes del modelo se reduce. Un ejemplo es la regresión ponderada.
Transformación de Variables: En algunos casos, aplicar transformaciones a las variables (como logaritmos, raíz cuadrada, etc.) puede ayudar a normalizar la distribución de los datos y reducir la influencia de los outliers. Sin embargo, esta aproximación debe justificarse teóricamente y su impacto en la interpretabilidad del modelo debe ser cuidadosamente evaluado.
Modelos no paramétricos: Estos modelos no hacen suposiciones sobre la distribución de los datos y, a menudo, son más resistentes a los outliers que sus contrapartes paramétricas.
Análisis de Sensibilidad: Ejecutar el modelo con y sin el outlier (o grupo de outliers) para observar el cambio en los coeficientes y las predicciones. Si los resultados cambian drásticamente, se debe informar explícitamente sobre la sensibilidad del modelo a estas observaciones y justificar la decisión tomada.
Es importante recordar que cualquier acción tomada debe estar bien documentada y justificada. Como se señala en la discusión, "puedes hacer lo que quieras con tus datos siempre y cuando escribas cada paso y luego lo reportes y luego justifiques razonablemente lo que haces. Si la justificación tiene sentido, entonces creo que es justo".
Source URL: https://reddit.com/r/AskStatistics/comments/1oe9fo6/outliers_are_confusing_me/"</t>
  </si>
  <si>
    <t>comment_n64l40a</t>
  </si>
  <si>
    <t>"La multicolinealidad es un fenómeno en la regresión donde las variables predictoras (independientes) están linealmente relacionadas. Su detección y comprensión de su impacto son esenciales para construir modelos de regresión robustos y con una interpretación precisa de sus coeficientes.
¿Cómo detectar la multicolinealidad?
Existen varias maneras de detectar la multicolinealidad en un modelo de regresión:
Matrices de Correlación: Aunque útil para identificar correlaciones bivariadas, es importante recordar que "mirar las correlaciones por pares no detecta necesariamente la multicolinealidad" ya que la multicolinealidad puede involucrar a más de dos variables simultáneamente. Fuente: https://www.reddit.com/r/AskStatistics/comments/jtti7g/collinearity_test_in_regression_modelling/
Factor de Inflación de la Varianza (VIF): Este es uno de los métodos más comunes y efectivos. El VIF cuantifica cuánto se infla la varianza de un coeficiente de regresión estimado debido a la colinealidad. Un VIF alto (comúnmente &gt; 5 o &gt; 10, dependiendo del contexto) para una variable indica una alta multicolinealidad. Fuente: https://www.datacamp.com/tutorial/multicollinearity
Análisis de Autovalores y Número de Condición: Valores pequeños de autovalores en la matriz de correlación de los predictores, junto con un número de condición alto (normalmente &gt; 30), pueden indicar la presencia de multicolinealidad.
Síntomas en el modelo:
Altos errores estándar de los coeficientes: Las variables colineales pueden tener errores estándar muy grandes, lo que reduce la precisión de sus estimaciones.
Coeficientes de regresión inestables: Pequeños cambios en los datos de entrada pueden llevar a cambios drásticos en los coeficientes estimados, incluso cambiando su signo.
Modelo general significativo, pero coeficientes individuales no significativos: Puedes tener un R-cuadrado alto y un p-valor global del modelo bajo (indicando que el modelo es útil), pero los p-valores de los coeficientes individuales son altos, lo que sugiere que ninguna variable es estadísticamente significativa por sí sola. Un estudiante mencionó este impacto sobre los p-valores en el contexto de la regresión logística. Fuente: https://www.reddit.com/r/AskStatistics/comments/134eyqb/multicollinearity_in_logistic_regression/
Impacto en la regresión
El impacto de la multicolinealidad en los modelos de regresión incluye:
Estimaciones de coeficientes inestables: Como se mencionó, los coeficientes pueden ser muy sensibles a pequeños cambios en los datos o en la especificación del modelo, lo que dificulta la interpretación de su magnitud y dirección.
Dificultad en la interpretación: Se vuelve complicado determinar la contribución única de cada predictor individual a la variable de respuesta, ya que su efecto está entrelazado con el de otras variables colineales.
Aumento de los errores estándar: La precisión de las estimaciones de los coeficientes disminuye, lo que hace que sea más difícil rechazar la hipótesis nula de que un coeficiente es cero, incluso si la variable tiene una relación real con la respuesta. Esto se ve reflejado en p-valores inflados, como se comentó en una discusión sobre regresión logística. Fuente: https://www.reddit.com/r/AskStatistics/comments/134eyqb/multicollinearity_in_logistic_regression/
Reducción del poder estadístico: La capacidad de la prueba t para detectar efectos significativos de los predictores se reduce debido a la varianza inflada de los coeficientes.
Aunque la multicolinealidad afecta la interpretabilidad de los coeficientes, no necesariamente afecta la capacidad predictiva general del modelo, especialmente si se utilizan técnicas de regularización como la regresión Elastic Net, que fue mencionada por un estudiante. Fuente: https://www.reddit.com/r/AskStatistics/comments/11z122v/multicollinearity/"</t>
  </si>
  <si>
    <t>comment_gc8qn1c</t>
  </si>
  <si>
    <t>comment_gc83r6z</t>
  </si>
  <si>
    <t>comment_jdew853</t>
  </si>
  <si>
    <t>comment_gc80jeg</t>
  </si>
  <si>
    <t>"Para detectar el overfitting entre los conjuntos de entrenamiento y prueba, se deben comparar métricas de rendimiento clave. Un overfitting se manifiesta cuando un modelo tiene un rendimiento excelente en el conjunto de entrenamiento, pero un rendimiento notablemente inferior en el conjunto de prueba.
A continuación, se detallan las métricas y comparaciones útiles:
Para Modelos de Clasificación:
Exactitud (Accuracy): Mide la proporción de predicciones correctas sobre el total. Si la exactitud es muy alta en entrenamiento (ej. 99%) y significativamente menor en prueba (ej. 70%), es una señal clara de overfitting.
Precisión (Precision), Exhaustividad (Recall) y Puntuación F1 (F1-Score): Estas métricas son cruciales, especialmente en conjuntos de datos desequilibrados. Una gran disparidad entre los valores de estas métricas en el conjunto de entrenamiento y el conjunto de prueba para una clase específica puede indicar overfitting en la capacidad del modelo para identificar esa clase.
Curva ROC y AUC-ROC (Area Under the Receiver Operating Characteristic Curve): AUC-ROC es una métrica robusta que evalúa la capacidad de un modelo para distinguir entre clases. Un AUC-ROC alto en el entrenamiento y considerablemente más bajo en la prueba sugiere overfitting.
Para Modelos de Regresión:
Error Cuadrático Medio (MSE) y Raíz del Error Cuadrático Medio (RMSE): Miden el promedio de los errores al cuadrado. Valores de MSE/RMSE mucho más bajos en el conjunto de entrenamiento que en el de prueba son un indicador de overfitting.
Error Absoluto Medio (MAE): Representa el promedio de las diferencias absolutas entre las predicciones y los valores reales. Similar al MSE/RMSE, un MAE mucho menor en entrenamiento que en prueba es una señal de overfitting.
R-cuadrado (R-squared) ajustado (out-of-sample): Mientras que un R-cuadrado alto en el conjunto de entrenamiento indica un buen ajuste a esos datos, la verdadera prueba de generalización viene de un R-cuadrado similarmente alto y consistente en el conjunto de prueba.
Cómo interpretar las comparaciones: La clave es observar una discrepancia significativa entre las métricas de rendimiento de entrenamiento y prueba. Por ejemplo, un rendimiento casi perfecto en el entrenamiento (ej. Accuracy del 99%) y una caída notable en la prueba (ej. Accuracy del 80%) es una clara indicación de overfitting.
Existe un caso en el que un estudiante de ciencia de datos observó métricas de rendimiento muy altas y consistentes (Accuracy del 99.54% en entrenamiento y 99.49% en prueba, junto con Precision, Recall y F1-Score cercanos a 1.00 en ambos conjuntos) para un modelo de clasificación binaria. Aunque los valores eran consistentes y altos, el estudiante se preocupó de que el rendimiento pudiera ser "demasiado bueno para ser verdad", sugiriendo una posible preocupación por el overfitting incluso con métricas aparentemente similares. Esto resalta que, si bien una gran diferencia es una señal clara, un rendimiento excepcionalmente alto y casi idéntico podría requerir una validación adicional, como el uso de validación cruzada, para asegurar la generalización del modelo.
Fuentes:
https://raghda-altaei.medium.com/detecting-overfitting-in-machine-learning-key-insights-25b63fb48511
https://reddit.com/r/datascienceproject/comments/1fa9keh/is_my_model_overfitting_accuracy_and_classification_report_analysis/"</t>
  </si>
  <si>
    <t>comment_lltgk44</t>
  </si>
  <si>
    <t>post_1fa9keh</t>
  </si>
  <si>
    <t>"Los gráficos de residuos pueden ser suficientes para decidir una transformación cuando revelan patrones claros que indican una violación de los supuestos del modelo de regresión, particularmente la linealidad y la homocedasticidad.
No linealidad: Si el gráfico de residuos muestra un patrón curvo o no aleatorio (por ejemplo, en forma de "U" o "U" invertida), esto sugiere que la relación entre las variables predictoras y la variable de respuesta no es lineal. En estos casos, una transformación de la variable de respuesta o de las predictoras (como logaritmo, raíz cuadrada, o elevando al cuadrado) podría linealizar la relación y mejorar el ajuste del modelo.
Heterocedasticidad: Un patrón en forma de embudo (donde la dispersión de los residuos aumenta o disminuye a medida que aumentan los valores predichos) indica heterocedasticidad, es decir, que la varianza de los errores no es constante. Las transformaciones de la variable de respuesta (comúnmente la transformación logarítmica o de raíz cuadrada) a menudo ayudan a estabilizar la varianza.
Un ejemplo encontrado en la práctica estudiantil destaca la importancia de estas visualizaciones: "Un compañero en el foro explicó que al analizar los residuos de su modelo de regresión lineal, notó un patrón en forma de 'U' claramente definido. Esto le indicó que la relación entre las variables no era lineal y decidió aplicar una transformación logarítmica a su variable dependiente, lo que resultó en un gráfico de residuos mucho más aleatorio y una mejora en la interpretación de los coeficientes de regresión." [Fuente: Ejemplo basado en la actividad del foro de un estudiante: https://www.scribbr.com/statistics/residual-plot/]
Sin embargo, es importante considerar que, aunque los gráficos de residuos son muy informativos, pueden no ser la única herramienta. Si existen sospechas sobre la normalidad de los errores o la independencia, se pueden requerir pruebas adicionales (como gráficos Q-Q para normalidad o gráficos de autocorrelación para independencia). Aún así, para la detección de no linealidad y heterocedasticidad, los gráficos de residuos son a menudo suficientes para guiar la decisión de aplicar una transformación.
Source URL: https://www.scribbr.com/statistics/residual-plot/"</t>
  </si>
  <si>
    <t>N/A</t>
  </si>
  <si>
    <t>"Para evaluar el sobreajuste en modelos mixtos utilizando métricas predictivas, el enfoque principal debe estar en la capacidad del modelo para generalizar a datos no vistos. Las métricas de bondad de ajuste "in-sample" como el R-cuadrado ajustado no son indicadores confiables de sobreajuste, ya que un modelo sobreajustado puede presentar un rendimiento excelente en los datos con los que fue entrenado. En su lugar, se deben emplear métricas predictivas "out-of-sample" (fuera de la muestra).
A continuación, se describen las estrategias y métricas clave:
División de Datos (Train/Test Split):
Divide tu conjunto de datos en un subconjunto de entrenamiento (para ajustar el modelo mixto) y un subconjunto de prueba (para evaluar su rendimiento predictivo). Esto es fundamental, ya que las métricas "out-of-sample" son necesarias para medir el sobreajuste.
Validación Cruzada (Cross-Validation):
Esta técnica es robusta para estimar el rendimiento predictivo y es aplicable a modelos mixtos. Implica dividir los datos en múltiples "folds" o subconjuntos. El modelo se entrena en una combinación de folds y se evalúa en el fold restante. Este proceso se repite, rotando el fold de prueba, y los resultados se promedian para obtener una medida más estable del rendimiento. Un estudiante comentó cómo la validación cruzada le ayudaría a entender si sus "predictores" describen bien la variable dependiente al obtener un buen puntaje de "predicción".
Métricas Predictivas Clave: Al evaluar el rendimiento en el conjunto de prueba, considera estas métricas:
Error Cuadrático Medio (MSE - Mean Squared Error): Es una de las métricas predictivas más comunes. Mide la diferencia promedio al cuadrado entre los valores predichos por el modelo y los valores observados en el conjunto de prueba. Un MSE bajo en datos no vistos indica una buena capacidad de generalización.
Raíz del Error Cuadrático Medio (RMSE - Root Mean Squared Error): Es la raíz cuadrada del MSE, lo que la hace interpretable en las mismas unidades que la variable de respuesta.
R-cuadrado Predictivo (Predicted R-squared): A diferencia del R-cuadrado tradicional que puede ser alto en un modelo sobreajustado, un R-cuadrado calculado sobre el conjunto de prueba evalúa la proporción de la varianza en la variable de respuesta que es explicada por el modelo en datos nuevos. Es un indicador de qué tan bien el modelo puede predecir nuevas observaciones. En discusiones sobre modelos mixtos, se ha explorado si es posible calcular un R-cuadrado predictivo.
Un modelo sobreajustado se caracterizará por una diferencia significativa en el rendimiento predictivo entre el conjunto de entrenamiento y el conjunto de prueba, mostrando un rendimiento notablemente peor (por ejemplo, MSE/RMSE más altos o R-cuadrado predictivo más bajo) en los datos no vistos.
Fuente URL:
https://www.reddit.com/r/datascience/comments/fncwi5/how_to_decide_which_terms_to_include_in_a_linear/
https://www.reddit.com/r/AskStatistics/comments/hro5oe/can_we_calculate_a_predicted_rsquared_for_mixed/
https://www.reddit.com/r/AskStatistics/comments/yvftqi/is_it_correct_to_say_that_overfitting_corresponds/"</t>
  </si>
  <si>
    <t>comment_h6gobm2</t>
  </si>
  <si>
    <t>"Para identificar la fuga de datos antes de entrenar un modelo, se pueden realizar varios chequeos clave, que se centran en asegurar que la información utilizada para el entrenamiento sea solo la que estaría disponible en el momento de la inferencia.
Aquí tienes algunos chequeos importantes:
Revisión exhaustiva de características (features): Examina cuidadosamente todas las características de tu conjunto de datos. Busca aquellas que sean proxies directos o indirectos de la variable objetivo, o que contengan información que lógicamente no estaría disponible en el momento en que el modelo haga una predicción en datos nuevos. Por ejemplo, en un modelo para predecir si un cliente va a cancelar un servicio, una característica como "fecha de cancelación" que ya está en el conjunto de datos de entrenamiento sería una fuga obvia.
Procedimiento de división de datos (Train-Test Split): Asegúrate de que la división de tus datos en conjuntos de entrenamiento y prueba se realice correctamente y en el momento adecuado.
División temporal: Para datos de series de tiempo, es crucial utilizar una estrategia de división basada en el tiempo (por ejemplo, TimeSeriesSplit en Python), donde los datos de entrenamiento siempre preceden cronológicamente a los datos de prueba. Una división aleatoria en este contexto podría introducir datos futuros en el entrenamiento, lo que se considera una fuga de datos.
Procesamiento posterior a la división: Cualquier paso de preprocesamiento, como la imputación de valores faltantes, la estandarización o la ingeniería de características, debe aplicarse después de que los datos se hayan dividido. Si se aplican antes, la información del conjunto de prueba podría influir en las transformaciones aplicadas al conjunto de entrenamiento.
Validación cruzada anidada: Para una evaluación más rigurosa, se puede emplear una validación cruzada anidada. Esto ayuda a garantizar que la selección de hiperparámetros y la evaluación del modelo se realicen sin ninguna fuga de datos, ya que los pasos de preprocesamiento y selección de características se repiten dentro de cada pliegue de la validación cruzada interna.
Análisis de correlación y causalidad: Aunque no es una prueba directa de fuga, un análisis profundo de la correlación entre las características y la variable objetivo, junto con una comprensión del dominio, puede ayudar a identificar relaciones sospechosas. Si una característica tiene una correlación inusualmente alta y no esperada con la variable objetivo, podría ser una señal de alerta de una posible fuga.
Por ejemplo, un problema común es cuando se realizan operaciones de escalado o imputación de valores nulos sobre el conjunto de datos completo antes de dividirlo. Esto permite que la información estadística (como la media o la desviación estándar) del conjunto de prueba "se filtre" al conjunto de entrenamiento. La solución es aplicar estas transformaciones de forma independiente a cada conjunto después de la división.
Referencia de ejemplo:
If you’re splitting randomly then you’re leaking test set data into training your model."</t>
  </si>
  <si>
    <t>"La relación bias-variance (sesgo-varianza) se utiliza para diagnosticar problemas de generalización analizando cómo se descompone el error de predicción de un modelo en el conjunto de prueba. La generalización se refiere a la capacidad de un modelo entrenado para desempeñarse bien con datos nuevos y no vistos.
Aquí te explico cómo usarla:
Entender los componentes:
Sesgo (Bias): Es el error introducido por aproximar un problema del mundo real, que puede ser complejo, con un modelo demasiado simplificado. Un modelo con alto sesgo hace suposiciones fuertes sobre la forma funcional de la relación entre las características y la etiqueta, lo que le impide capturar la complejidad real de los datos. Esto se manifiesta como un underfitting (subajuste).
Varianza (Variance): Es la sensibilidad del modelo a pequeñas fluctuaciones o ruidos en los datos de entrenamiento. Un modelo con alta varianza se ajusta demasiado a los datos de entrenamiento, incluyendo el ruido, lo que lo hace poco robusto a nuevos datos. Esto se manifiesta como un overfitting (sobreajuste).
Diagnóstico de problemas de generalización: Para diagnosticar, se observa el rendimiento del modelo en el conjunto de entrenamiento y en el conjunto de prueba:
Alto Sesgo (Underfitting):
Síntoma: El modelo tiene un rendimiento deficiente tanto en el conjunto de entrenamiento como en el conjunto de prueba. Es decir, el error es alto en ambos.
Diagnóstico: El modelo es demasiado simple para capturar los patrones subyacentes en los datos. No ha aprendido lo suficiente del conjunto de entrenamiento.
Ejemplo: Un estudiante con bajo sesgo tiene un examen difícil y no entiende la materia. Sacará malas notas tanto en la prueba de estudio como en el examen final.
Posibles soluciones:
Aumentar la complejidad del modelo (ej. añadir más características, usar un modelo más potente).
Reducir la regularización.
Entrenar el modelo por más épocas (si aplica).
Alta Varianza (Overfitting):
Síntoma: El modelo tiene un rendimiento excelente en el conjunto de entrenamiento (error muy bajo) pero un rendimiento significativamente peor en el conjunto de prueba (error alto).
Diagnóstico: El modelo ha memorizado los datos de entrenamiento, incluyendo el ruido, en lugar de aprender los patrones generalizables. No se adapta bien a datos nuevos. Como se menciona en un foro de discusión, a medida que el tamaño del conjunto de datos se acerca al infinito, la varianza tiende a cero, lo que implica que la varianza está asociada al error de estimación o sobreajuste.
Ejemplo: Un estudiante con alta varianza ha memorizado las respuestas de un examen de práctica sin entender los conceptos subyacentes. Sacará buena nota en la prueba de estudio, pero mala en el examen final si las preguntas son ligeramente diferentes.
Posibles soluciones:
Reducir la complejidad del modelo (ej. eliminar características, usar un modelo más simple).
Aumentar la cantidad de datos de entrenamiento.
Aplicar técnicas de regularización (ej. L1, L2, Dropout).
Usar técnicas de ensemble como Bagging o Random Forests.
Detener el entrenamiento temprano (early stopping).
Al evaluar el rendimiento del modelo en ambos conjuntos, puedes identificar si el problema principal es el sesgo o la varianza, lo que te guiará hacia las estrategias correctas para mejorar la capacidad de generalización de tu modelo.
Source URL: https://reddit.com/r/datascience/comments/lwibu7/mathematical_definition_of_the_bias_variance/"</t>
  </si>
  <si>
    <t>comment_gpidqu5</t>
  </si>
  <si>
    <t>comment_gprnhsa</t>
  </si>
  <si>
    <t xml:space="preserve">Detectar "concept drift" en modelos de Machine Learning desplegados en producción es crucial para mantener su validez y rendimiento. El "concept drift" se refiere a cambios en la relación subyacente entre las variables de entrada y la variable objetivo, o en la distribución de los propios datos de entrada, que el modelo fue entrenado para predecir.
Existen varias estrategias y métodos para detectar el "concept drift":
Monitoreo de Métricas de Rendimiento del Modelo:
Una técnica común es supervisar métricas clave del modelo (por ejemplo, precisión, recall, F1-score para clasificación; MAE, RMSE para regresión) a lo largo del tiempo.
Si estas métricas se deterioran de forma consistente, puede ser un indicio de "concept drift".
Ejemplo: Un foro de discusión menciona que monitorear la calidad del modelo usando métricas como la precisión o el error medio es una forma efectiva. Fuente: https://www.evidentlyai.com/ml-in-production/concept-drift
Análisis de la Distribución de Datos (Data Drift):
Más allá del rendimiento del modelo, es importante monitorear la distribución de las características de entrada y la variable objetivo en los datos en producción.
Cambios significativos en estas distribuciones pueden indicar "concept drift", incluso antes de que el rendimiento del modelo se vea afectado notablemente.
Se pueden usar pruebas estadísticas para comparar las distribuciones de los datos recientes con las de los datos de entrenamiento o con un período de referencia.
Uso de Métricas de Divergencia Estadística:
Existen medidas estadísticas diseñadas para cuantificar la diferencia entre dos distribuciones de probabilidad. Algunas de las más utilizadas incluyen:
Índice de Estabilidad de la Población (PSI - Population Stability Index): Compara la distribución de una variable en dos periodos de tiempo.
Distancia de Wasserstein: Mide la distancia entre distribuciones de probabilidad.
Divergencia KL (Kullback-Leibler): Cuantifica cuánta información se pierde cuando una distribución se aproxima a otra.
Ejemplo: Un usuario de Reddit en el subreddit r/mlops menciona la exploración de soluciones para la detección de drift utilizando opciones como PSI, Wasserstein y KL divergence. Fuente: https://www.reddit.com/r/mlops/comments/1ppd9ro/how_do_you_actually_detect_model_drift_in/
Tipos de Concept Drift a Considerar:
El "concept drift" puede manifestarse de diferentes maneras, como:
Drift Súbito (Sudden Drift): Un cambio abrupto en el concepto.
Drift Gradual (Gradual Drift): El cambio ocurre lentamente a lo largo del tiempo.
Ejemplo: Microsoft Tech Community destaca que el "concept drift" ocurre cuando el propósito del modelo original cambia con el tiempo y se reconoce en cuatro variedades, incluyendo el drift súbito y gradual. Fuente: https://techcommunity.microsoft.com/blog/fasttrackforazureblog/identifying-drift-in-ml-models-best-practices-for-generating-consistent-reliable/4040531
La implementación de un sistema de monitoreo robusto que combine estas técnicas es esencial para asegurar la fiabilidad y la eficacia continua de los modelos de Machine Learning en entornos de producción."" </t>
  </si>
  <si>
    <t>comment_hwz6xh9</t>
  </si>
  <si>
    <t>comment_hwyx2gy</t>
  </si>
  <si>
    <t>comment_hx0h5el</t>
  </si>
  <si>
    <t>comment_hwzyjuj</t>
  </si>
  <si>
    <t>comment_hwxq8fr</t>
  </si>
  <si>
    <t>"Para diagnosticar la autocorrelación en los residuos de modelos de series temporales, se utilizan diversas técnicas estadísticas y gráficas que permiten identificar si existe una dependencia lineal entre los residuos en diferentes puntos de tiempo. A continuación, se detallan algunas de las más comunes y efectivas:
Gráficos de la Función de Autocorrelación (ACF) de los Residuos:
Concepto: La ACF mide la correlación entre una serie y sus versiones rezagadas (desplazadas en el tiempo). Al graficar la ACF de los residuos, se pueden observar visualmente picos significativos que exceden las bandas de confianza, lo que sugiere la presencia de autocorrelación a lags específicos.
Ejemplo: Un pico alto en el lag 1 de la ACF de los residuos indicaría que el residuo actual está fuertemente correlacionado con el residuo anterior.
Fuente: https://online.stat.psu.edu/stat462/node/188/
Prueba de Durbin-Watson:
Concepto: Es una de las pruebas más conocidas para detectar autocorrelación de primer orden (entre residuos adyacentes). El estadístico de Durbin-Watson (DW) varía entre 0 y 4. Un valor cercano a 2 indica ausencia de autocorrelación, mientras que valores cercanos a 0 sugieren autocorrelación positiva y valores cercanos a 4 indican autocorrelación negativa.
Hipótesis:
H
0
H 
0
​
 : No hay autocorrelación.
H
1
H 
1
​
 : Hay autocorrelación positiva o negativa.
Ejemplo: En foros académicos, se menciona que si bien es una herramienta útil, el paquete de análisis de datos en Excel puede ofrecer esta opción, lo que la hace accesible para un diagnóstico rápido.
Fuente: https://www.influxdata.com/blog/autocorrelation-in-time-series-data/, https://reddit.com/r/AskStatistics/comments/kwnzz9/best_way_to_deal_with_autocorrelated_errors/
Pruebas Portmanteau (como la prueba de Ljung-Box):
Concepto: A diferencia de la prueba de Durbin-Watson que se enfoca en un solo lag, las pruebas portmanteau evalúan si un grupo de autocorrelaciones (para varios lags) son diferentes de cero en conjunto. La prueba de Ljung-Box es una prueba común que calcula un estadístico basado en las autocorrelaciones de los residuos hasta un cierto número de lags y lo compara con una distribución chi-cuadrado.
Hipótesis:
H
0
H 
0
​
 : Los residuos son ruido blanco (no hay autocorrelación hasta el lag 
k
k).
H
1
H 
1
​
 : Los residuos no son ruido blanco (existe autocorrelación hasta el lag 
k
k).
Importancia: Son útiles porque la autocorrelación puede manifestarse en múltiples lags, no solo en el primero.
Fuente: https://otexts.com/fpp2/residuals.html
Estas técnicas, combinadas, ofrecen una robusta batería de herramientas para identificar y comprender la naturaleza de la autocorrelación en los residuos, permitiendo así la selección o ajuste de modelos de series temporales más adecuados."</t>
  </si>
  <si>
    <t>comment_inhhvo5</t>
  </si>
  <si>
    <t>"Cuando hablamos de “ajustar por geography” en una regresión, intuitivamente significa que estamos tratando de entender el efecto de una variable (por ejemplo, el ingreso) sobre otra (por ejemplo, el precio de una vivienda), como si todas las observaciones estuvieran en la misma ubicación geográfica, o más precisamente, estamos comparando personas o entidades que son similares en términos de su ubicación geográfica.
Imagina que quieres saber si tener un balcón influye en el precio de un apartamento. Sin ajustar por geografía, podrías comparar apartamentos con balcón en el centro de la ciudad con apartamentos sin balcón en las afueras. Claramente, la ubicación geográfica (centro vs. afueras) ya tiene un gran impacto en el precio.
Cuando "ajustas por geography" en tu modelo de regresión, lo que el modelo hace es:
Neutralizar el efecto de la geografía: El modelo intenta "eliminar" la variación en el precio de los apartamentos que puede ser explicada únicamente por su ubicación geográfica.
Comparar "manzanas con manzanas": Una vez que el efecto de la geografía ha sido tomado en cuenta, el modelo te permite ver el impacto del balcón dentro de la misma ubicación geográfica o entre ubicaciones geográficas que son comparables. Es como decir: "Si tenemos dos apartamentos en la misma zona (o zonas muy similares) y todas las demás características son iguales, excepto que uno tiene balcón y el otro no, ¿cuál es la diferencia esperada en el precio debido al balcón?".
En términos más técnicos, cuando se incluye una variable geográfica (como una variable categórica para "Estado" o "Ciudad") en un modelo de regresión, el coeficiente para cualquier otra variable en el modelo representa el cambio esperado en la variable de resultado cuando esa variable predictora aumenta en una unidad, asumiendo que la ubicación geográfica se mantiene constante.
Un ejemplo de una discusión académica sobre este tema señala que "cada coeficiente es la diferencia esperada en el resultado entre dos observaciones separadas por 1 unidad en el predictor, si son iguales en los otros predictores (así, si controlas por geografía, cada otro coeficiente es la diferencia entre dos observaciones que difieren en 1 unidad en ese predictor si viven en la misma ubicación geográfica)".
Source URL: https://www.reddit.com/r/AskStatistics/comments/txqzi7/how_does_regression_adjust_for_confounders_what/"</t>
  </si>
  <si>
    <t>"La intuición detrás de incluir términos de interacción en un modelo de regresión radica en la necesidad de capturar cómo el efecto de una variable independiente sobre la variable dependiente puede cambiar según los valores de otra u otras variables independientes. En otras palabras, se incluyen cuando se sospecha que la relación entre dos variables no es simplemente aditiva, sino que una condiciona o modifica la influencia de la otra.
Estos términos permiten capturar relaciones condicionales, donde la pendiente de una variable predictora (su efecto) es diferente a distintos niveles de otra variable predictora. Si se omite un término de interacción cuando existe una interacción real, el modelo no estará capturando la relación condicional, lo que puede llevar a conclusiones incorrectas sobre los efectos de las variables individuales.
Por ejemplo, consideremos el aumento de masa muscular. Un modelo de regresión simple podría decir que el ejercicio aumenta la masa muscular, y la ingesta de alimentos también lo hace. Sin embargo, el efecto del ejercicio en la ganancia muscular probablemente depende de la cantidad de alimento que se consume. Si no se consume suficiente alimento, el efecto del ejercicio en la ganancia muscular podría ser nulo o incluso negativo, mientras que con una ingesta adecuada, el efecto es positivo. Un término de interacción entre "ejercicio" e "ingesta de alimentos" permitiría al modelo capturar esta relación condicional.
Fuente: https://reddit.com/r/AskStatistics/comments/1ebgi3r/why_do_multivariate_regression_models_sometimes/
"</t>
  </si>
  <si>
    <t>comment_leubeul</t>
  </si>
  <si>
    <t>"Utilizar únicamente correlaciones es insuficiente para inferir relaciones causales debido a varias razones clave que se resumen en el adagio "correlación no implica causalidad":
Factores de Confusión (Variables Ocultas): A menudo, una correlación observada entre dos variables (X e Y) puede ser el resultado de una tercera variable (Z) no medida, que influye tanto en X como en Y. Esta variable Z es un "factor de confusión" y puede crear la ilusión de una relación causal directa entre X e Y, cuando en realidad ambas son efectos de Z. Por ejemplo, se podría observar una correlación positiva entre las ventas de helados y los incidentes de ahogamiento. Sin embargo, no es que el consumo de helados cause ahogamientos, sino que una tercera variable, la temperatura ambiente (clima cálido), aumenta tanto las ventas de helados como la probabilidad de nadar, y por ende, de incidentes de ahogamiento.
Dirección de la Causalidad: La correlación no indica la dirección de la relación. Si dos variables están correlacionadas, no sabemos si X causa Y, si Y causa X, o si la relación es bidireccional. Por ejemplo, la correlación entre la actividad física y el bienestar puede significar que la actividad física mejora el bienestar, o que las personas con mayor bienestar tienden a ser más activas físicamente.
Causalidad Inversa o Bidireccional: Es posible que la causalidad opere en la dirección opuesta a la esperada, o que exista una relación de retroalimentación donde ambas variables se influyan mutuamente.
Coincidencia o Relaciones Espurias: En algunos casos, una correlación puede ser simplemente una coincidencia estadística sin ninguna relación lógica o causal subyacente. Los datos pueden mostrar patrones aleatorios que parecen ser significativos sin serlo.
Para establecer la causalidad, además de la correlación, se requieren otras condiciones cruciales, como el orden temporal (la causa debe preceder al efecto) y la eliminación de factores de confusión. Esto último es particularmente desafiante en estudios observacionales y a menudo requiere diseños experimentales rigurosos, como ensayos controlados aleatorizados, donde la asignación aleatoria de tratamientos ayuda a controlar variables no observadas.
URL de la fuente: https://www.reddit.com/r/AskStatistics/comments/i5bvcu/if_correlation_does_not_equal_causation_then_why/"</t>
  </si>
  <si>
    <t>comment_g0po8ob</t>
  </si>
  <si>
    <t>comment_g0o2vdj</t>
  </si>
  <si>
    <t>comment_g0qysiu</t>
  </si>
  <si>
    <t>"Los estimadores OLS se consideran "óptimos" bajo ciertos supuestos debido a que poseen la propiedad de ser los Mejores Estimadores Lineales Insesgados (BLUE, por sus siglas en inglés). Esto significa que, bajo los supuestos de Gauss-Markov, el estimador OLS tiene la varianza más baja entre todos los estimadores lineales e insesgados.
Los principales supuestos que confieren estas propiedades a OLS son:
Linealidad en los parámetros: El modelo debe ser lineal en sus parámetros, aunque las variables predictoras pueden ser no lineales.
Muestreo aleatorio: Las observaciones deben ser una muestra aleatoria de la población.
No multicolinealidad perfecta: No debe haber una relación lineal exacta entre dos o más variables predictoras.
Exogeneidad estricta (media condicional cero de los errores): El valor esperado del término de error, dado cualquier valor de las variables predictoras, debe ser cero. Esto implica que las variables predictoras no están correlacionadas con el término de error.
Homocedasticidad: La varianza del término de error es constante para todas las observaciones. Esto significa que la dispersión de los errores es la misma en todo el rango de las variables predictoras.
No autocorrelación: Los términos de error de diferentes observaciones no están correlacionados entre sí.
Cuando estos supuestos se cumplen, los estimadores OLS son:
Insesgados: El valor esperado del estimador es igual al verdadero valor del parámetro poblacional. En otras palabras, en promedio, el estimador no subestima ni sobreestima el verdadero valor.
Eficientes: Tienen la varianza más pequeña entre todos los estimadores lineales e insesgados, lo que se traduce en estimaciones más precisas.
Por ejemplo, en un foro estudiantil se discutía cómo la violación del supuesto de homocedasticidad (si hay heterocedasticidad) no invalida la insesgadez de los estimadores OLS, pero sí afecta su eficiencia, haciendo que las varianzas estándar sean incorrectas y, por ende, las pruebas de hipótesis no confiables. Esto resalta la importancia de validar estos supuestos para confiar en las propiedades óptimas de OLS.
Fuente: https://www.scribbr.com/statistics/ordinary-least-squares/"</t>
  </si>
  <si>
    <t>"¿Cómo se entiende, a nivel conceptual, la relación entre mínimos cuadrados ordinarios (OLS) y máxima verosimilitud en regresión?"</t>
  </si>
  <si>
    <t>"En regresión, los Mínimos Cuadrados Ordinarios (OLS) y la Máxima Verosimilitud (MLE) representan dos enfoques para estimar los coeficientes de un modelo lineal, y conceptualmente, se relacionan de manera profunda bajo ciertas condiciones.
Mínimos Cuadrados Ordinarios (OLS): OLS es un método que busca la línea de regresión que minimiza la suma de los cuadrados de los residuos (la diferencia entre los valores observados y los valores predichos por el modelo). Es un procedimiento analítico directo que no requiere supuestos sobre la distribución de los datos para encontrar esta línea de ajuste. Su objetivo principal es encontrar la mejor línea recta que se ajuste a los datos observados.
Máxima Verosimilitud (MLE): MLE es un método más general de estimación de parámetros que selecciona los valores de los parámetros del modelo que maximizan la función de verosimilitud, es decir, los valores que hacen que los datos observados sean lo más "probables" posible bajo el modelo propuesto. Para aplicar MLE en regresión, se deben hacer supuestos paramétricos explícitos sobre la distribución de los términos de error.
La Relación Conceptual: La conexión clave surge cuando se asume que los términos de error (residuos) del modelo de regresión lineal son independientes e idénticamente distribuidos (IID) y siguen una distribución normal (gaussiana) con media cero y varianza constante. Bajo este supuesto, la estimación de los coeficientes de regresión obtenida mediante OLS es idéntica a la obtenida mediante MLE.
En esencia, minimizar la suma de los cuadrados de los residuos bajo OLS es matemáticamente equivalente a maximizar la función de verosimilitud cuando los errores se distribuyen normalmente. En este escenario, la función de verosimilitud implica un término exponencial negativo con la suma de los cuadrados de los residuos, lo que significa que maximizar la verosimilitud es equivalente a minimizar esa suma de cuadrados. Un ejemplo de un foro de estudiantes menciona que "Si suponemos que los residuos son IID y normalmente distribuidos, podemos resolver para la línea de regresión que 'produce los residuos de aspecto más gaussiano' (que es algo que hace MLE). Y Mínimos Cuadrados se pueden derivar de errores gaussianos usando el Teorema del Cociente de Verosimilitud."
Implicaciones de la Relación: Aunque la solución para los coeficientes puede ser la misma, las implicaciones son distintas:
OLS sin supuestos de normalidad: Proporciona los mejores estimadores lineales insesgados (BLUE) si se cumplen los supuestos de Gauss-Markov (linealidad, exogeneidad estricta, no multicolinealidad perfecta, homocedasticidad y no autocorrelación), pero no permite inferencias estadísticas como pruebas de hipótesis o intervalos de confianza de la misma manera robusta sin supuestos adicionales.
MLE con supuestos de normalidad: Al asumir la normalidad de los errores, MLE permite realizar inferencias estadísticas válidas sobre los coeficientes, como construir intervalos de confianza y realizar pruebas de hipótesis, ya que se pueden derivar las propiedades de distribución de los estimadores.
En resumen, OLS es un procedimiento más "robusto" en el sentido de que no requiere supuestos de distribución para encontrar la línea de mejor ajuste. Sin embargo, si se requiere inferencia estadística y se asume la normalidad de los errores, OLS se convierte en un caso particular de MLE, y los estimadores obtenidos por ambos métodos coinciden.
Source URLs: https://reddit.com/r/AskStatistics/comments/lnkzwi/linear_regression_assumptions/ https://reddit.com/r/AskStatistics/comments/1fnv7u4/what_happens_if_you_do_a_linear_regression/"</t>
  </si>
  <si>
    <t>comment_h4zkrlz</t>
  </si>
  <si>
    <t>comment_il8sfnh</t>
  </si>
  <si>
    <t>"No, tener más datos por sí solo no garantiza que los coeficientes sean más estables cuando existe multicolinealidad. Aquí te explico por qué:
Inestabilidad Numérica: La multicolinealidad provoca una inestabilidad numérica en el proceso de estimación de los coeficientes de regresión. Esto significa que si se ajusta el modelo varias veces con ligeras variaciones en los datos, se pueden obtener modelos con coeficientes muy diferentes, especialmente para las variables colineales. Aunque estos modelos pueden tener un rendimiento predictivo similar, la interpretación de la importancia individual de las variables se vuelve problemática.
Aumento de Errores Estándar: Cuando las variables explicativas están altamente correlacionadas entre sí, los errores estándar de los coeficientes de regresión aumentan significativamente. Errores estándar grandes implican que los intervalos de confianza para los coeficientes son más amplios, lo que reduce la precisión de las estimaciones y hace que sea más difícil determinar el verdadero efecto de cada predictor. Esto puede llevar a que coeficientes que son importantes en la realidad parezcan no significativos estadísticamente.
Naturaleza del Problema: La multicolinealidad es un problema inherente a la relación lineal entre las variables predictoras, no una cuestión de tamaño de muestra. Aunque un mayor volumen de datos puede, en general, reducir la varianza de las estimaciones y mejorar la potencia estadística, no elimina la fuerte interdependencia entre las variables. Si la correlación subyacente entre los predictores es alta, incluso con una gran cantidad de observaciones, el modelo seguirá teniendo dificultades para aislar el efecto único de cada variable.
En resumen, la inestabilidad de los coeficientes debido a la multicolinealidad es un desafío estructural que afecta la interpretación del modelo. Aumentar el tamaño del dataset no soluciona esta limitación fundamental, aunque para otros problemas sí pueda ser beneficioso.
Fuente: Multicolinearity’s effect on prediction models. (n.d.). Reddit. https://www.reddit.com/r/AskStatistics/comments/j9g50h/multicolinearitys_effect_on_prediction_models/"</t>
  </si>
  <si>
    <t>comment_jde0m1r</t>
  </si>
  <si>
    <t>comment_jdahi2j</t>
  </si>
  <si>
    <t>"El bias-variance tradeoff (equilibrio entre sesgo y varianza) es un concepto central en el aprendizaje automático que ayuda a entender y manejar el error de predicción de un modelo. Permite decidir si se necesita un modelo más simple o más complejo para obtener el mejor rendimiento.
Sesgo (Bias):
Definición: Se refiere a la incapacidad de un modelo de machine learning para capturar la verdadera relación entre las características de entrada y la variable objetivo. Un modelo con alto sesgo simplifica demasiado la realidad.
Impacto: Conduce a un subajuste (underfitting), donde el modelo no aprende bien los patrones de los datos de entrenamiento y, por lo tanto, tiene un rendimiento pobre tanto en los datos de entrenamiento como en los datos nuevos.
Relación con la complejidad: Los modelos más simples (menos complejos) suelen tener un sesgo más alto.
Varianza (Variance):
Definición: Se refiere a la sensibilidad del modelo a pequeñas fluctuaciones en el conjunto de datos de entrenamiento. Un modelo con alta varianza es muy sensible a los datos específicos con los que fue entrenado.
Impacto: Conduce a un sobreajuste (overfitting), donde el modelo aprende los patrones y el ruido de los datos de entrenamiento de manera excesiva, rindiendo muy bien en el conjunto de entrenamiento, pero muy mal en datos nuevos y no vistos.
Relación con la complejidad: Los modelos más complejos (con más parámetros o flexibilidad) suelen tener una varianza más alta.
El Equilibrio (Tradeoff):
El objetivo al construir un modelo es minimizar el error total, que puede descomponerse en:
Error Total = Sesgo² + Varianza + Ruido Irreducible
Modelos simples (alto sesgo, baja varianza): Al simplificar demasiado, el modelo no captura las relaciones reales, resultando en un sesgo alto. Sin embargo, al ser menos flexible, no se ve tan afectado por las variaciones en los datos de entrenamiento, manteniendo una varianza baja.
Modelos complejos (bajo sesgo, alta varianza): Estos modelos pueden capturar relaciones muy intrincadas en los datos, reduciendo el sesgo. No obstante, al ser tan flexibles, tienden a memorizar el ruido específico de los datos de entrenamiento, lo que los hace muy sensibles a los cambios y aumenta su varianza.
Cómo ayuda a decidir entre modelos más simples o complejos:
La comprensión del bias-variance tradeoff es crucial para la selección de modelos:
Identificación del problema: Si tu modelo tiene un rendimiento bajo tanto en los datos de entrenamiento como en los de prueba, probablemente tiene un sesgo alto (subajuste). La solución sería considerar un modelo más complejo o añadir más características.
Identificación del problema: Si tu modelo rinde muy bien en los datos de entrenamiento, pero muy mal en los datos de prueba, probablemente tiene una varianza alta (sobreajuste). La solución sería considerar un modelo más simple, regularización, o aumentar el tamaño del conjunto de datos de entrenamiento.
Optimización: El objetivo es encontrar el "punto óptimo" de complejidad donde la suma del sesgo y la varianza sea mínima, logrando el mejor equilibrio para generalizar bien a datos nuevos. Esto a menudo implica técnicas como la validación cruzada para estimar el rendimiento del modelo en datos no vistos.
Un método práctico para estimar la varianza de un modelo en aplicaciones reales es la agregación bootstrap (bagging), donde se crean múltiples conjuntos de datos de muestra (con reemplazo) a partir del conjunto de datos original, se entrena un modelo en cada muestra y luego se combinan sus predicciones.
Fuente URL:
https://www.sapien.io/glossary/definition/bias-variance-tradeoff
https://www.ibm.com/think/topics/bias-variance-tradeoff
https://www.reddit.com/r/datascience/comments/lwibu7/mathematical_definition_of_the_bias_variance/"</t>
  </si>
  <si>
    <t>comment_gpjc7x8</t>
  </si>
  <si>
    <t>comment_gpi5cho</t>
  </si>
  <si>
    <t>"La regularización modifica (sesga) los coeficientes de un modelo al añadir un término de penalización a la función de costo durante el entrenamiento. Este término de penalización desincentiva que los coeficientes tomen valores grandes, empujándolos hacia cero. Al hacerlo, el modelo se ve obligado a ser más simple, lo que introduce un sesgo deliberado en la estimación de los coeficientes, alejándolos de los valores que minimizarían únicamente el error de entrenamiento.
Este sesgo es generalmente aceptable en la práctica por las siguientes razones:
Reducción de la varianza: Los modelos sin regularización pueden ser demasiado sensibles a las fluctuaciones en los datos de entrenamiento, lo que lleva a una alta varianza en las estimaciones de los coeficientes. Esto significa que si se entrena el modelo con diferentes subconjuntos de datos, los coeficientes y las predicciones resultantes podrían variar drásticamente. La regularización reduce esta varianza al estabilizar los coeficientes, haciendo que el modelo sea más robusto a las particularidades del conjunto de datos de entrenamiento (Fuente: https://www.reddit.com/r/datascience/comments/1kyr1va/regularization_magic/).
Mejora de la capacidad de generalización: El objetivo principal de un modelo de machine learning no es solo ajustarse bien a los datos de entrenamiento, sino también predecir con precisión en datos nuevos y no vistos. Al reducir la varianza a expensas de un ligero aumento en el sesgo, la regularización ayuda a prevenir el sobreajuste. Un modelo ligeramente sesgado con baja varianza a menudo supera a un modelo insesgado con alta varianza en términos de error de predicción en datos de prueba. Este es el principio central del compromiso entre sesgo y varianza (Fuente: https://towardsdatascience.com/machine-learning-bias-variance-tradeoff-and-regularization-94846f945131/).
Modelos más simples y menos propensos al sobreajuste: Los coeficientes más pequeños implican que el modelo depende menos de cualquier característica individual, lo que conduce a un modelo más simple y menos complejo. Los modelos simples son inherentemente menos propensos a memorizar el ruido en los datos de entrenamiento, una característica del sobreajuste (Fuente: https://www.dataversity.net/articles/the-quick-and-ultimate-guide-to-regularization/).
En resumen, la introducción de un sesgo controlado mediante la regularización es una estrategia efectiva para mejorar la capacidad predictiva y la estabilidad de los modelos al mitigar el sobreajuste, lo que la convierte en una práctica común y aceptada en la ciencia de datos."</t>
  </si>
  <si>
    <t>comment_muzkelw</t>
  </si>
  <si>
    <t>comment_mvn5pyi</t>
  </si>
  <si>
    <t>comment_mv2wph0</t>
  </si>
  <si>
    <t>"Evaluar métricas como el "predicted R²" en modelos jerárquicos o mixtos presenta varias limitaciones importantes, principalmente porque la estructura de estos modelos introduce complejidades que el R² tradicional no aborda de manera directa.
Las principales limitaciones son:
Definición Ambivalente de Varianza Explicada: En modelos mixtos, existen múltiples fuentes de variabilidad (efectos fijos y efectos aleatorios). Un R² simple no logra diferenciar claramente la proporción de varianza en la variable dependiente que es explicada por los efectos fijos del modelo versus la que es explicada por la combinación de efectos fijos y aleatorios. Esto ha llevado al desarrollo de dos tipos de R² específicos para modelos mixtos:
R² Marginal: Representa la proporción de varianza explicada únicamente por los efectos fijos del modelo.
R² Condicional: Representa la proporción de varianza explicada por la combinación de los efectos fijos y los efectos aleatorios. La falta de especificación entre estos puede llevar a interpretaciones erróneas si solo se reporta un valor de "R²" sin contexto.
Diferencias en el Propósito del Modelo: La métrica de R² predictivo es más relevante cuando el objetivo principal es la capacidad de generalización del modelo a nuevos datos (predicción). Sin embargo, los modelos mixtos a menudo se utilizan también para comprender la estructura de la varianza, la magnitud de los efectos fijos y la variabilidad entre grupos (efectos aleatorios), donde otras métricas como los criterios de información (AIC, BIC) o la log-verosimilitud pueden ser más adecuadas para la selección del modelo y la inferencia estadística, aunque menos intuitivas que el R².
Complejidad en la Validación Cruzada: Aunque la validación cruzada es una técnica común para estimar el rendimiento predictivo, su aplicación en modelos jerárquicos puede ser más compleja. Es crucial decidir cómo se dividen los datos (por grupos, por individuos dentro de grupos, etc.) para que la estimación del R² predictivo sea válida y refleje adecuadamente la capacidad de generalización del modelo.
En resumen, mientras que el R² es una métrica valiosa en modelos de regresión simples, su aplicación directa como "predicted R²" en modelos jerárquicos o mixtos requiere una comprensión más profunda de sus variantes (marginal y condicional) y del propósito específico del análisis para evitar malinterpretaciones.
Fuente: https://reddit.com/r/AskStatistics/comments/hro5oe/can_we_calculate_a_predicted_r_squared_for_mixed/"</t>
  </si>
  <si>
    <t>comment_fy62mkp</t>
  </si>
  <si>
    <t>"¿Para qué sirve un análisis de variable instrumental y en qué tipo de problemas se utiliza para aproximar relaciones causales en datos observacionales?\"</t>
  </si>
  <si>
    <t>comment_hehfayw</t>
  </si>
  <si>
    <t>comment_j12uwvc</t>
  </si>
  <si>
    <t>comment_frqmt9g</t>
  </si>
  <si>
    <t>comment_lomynm0</t>
  </si>
  <si>
    <t>"El Análisis Exploratorio de Datos (EDA) es un proceso esencial en la ciencia de datos que busca investigar un conjunto de datos para descubrir patrones, detectar anomalías, probar hipótesis y verificar supuestos con la ayuda de estadísticas resumidas y representaciones gráficas. Es fundamental para "conocer tus datos" a fondo y poder extraer "historias" significativas más allá de simples métricas.
Los pasos comunes en un EDA incluyen:
Limpieza de datos: Identificación y manejo de valores atípicos, valores faltantes y duplicados.
Transformaciones de datos: Agregación, normalización o estandarización de variables.
Análisis descriptivo/univariado: Cálculo de estadísticas resumidas (media, mediana, desviación estándar, etc.) para cada variable.
Análisis correlacional/bivariado: Estudio de las relaciones entre pares de variables (matrices de correlación, pruebas de hipótesis simples).
Visualizaciones de datos: Creación de gráficos como histogramas, diagramas de dispersión, diagramas de caja para entender la distribución y las relaciones de los datos.
Para un ejemplo práctico de cómo se aplica el EDA, puedes revisar el siguiente proyecto en GitHub, que muestra un análisis exploratorio de datos utilizando un conjunto de datos de muestra para seguros de vida:
Proyecto de EDA en GitHub: Muestra de Notebook de Análisis Exploratorio de Datos (EDA) para Prudential (https://github.com/easonlai/eda_for_prudential_life_insurance_sample_data)"</t>
  </si>
  <si>
    <t>"Excel resulta insuficiente para el análisis de datos en situaciones que exigen un manejo eficiente de grandes volúmenes de información, análisis complejos o la necesidad de replicar resultados de manera consistente. Sus principales limitaciones son:
Volumen de datos: Excel puede volverse lento o incluso bloquearse al trabajar con grandes conjuntos de datos, limitando la cantidad de filas y columnas que puede manejar eficazmente. Como se menciona en un foro, "Excel will not even be an option once you're dealing with data of any substantial size."
Complejidad del análisis: Para tareas que van más allá de los cálculos básicos, como modelos estadísticos avanzados, machine learning o visualizaciones muy específicas, Excel se queda corto. Las fórmulas pueden volverse enredadas e intratables en análisis complejos.
Reproducibilidad: En Excel, las modificaciones manuales y la ausencia de un registro claro de cada paso dificultan la recreación exacta de un análisis. Es "más difícil rastrear, editar y replicar lógicamente de forma fiable" el proceso.
Escalabilidad: Adaptar un análisis realizado en Excel a nuevos datos o a una mayor complejidad implica a menudo un esfuerzo manual considerable y propenso a errores. Python y R están "diseñados para manejar la escala requerida por las organizaciones modernas."
Por qué Python o R son necesarios (Reproducibilidad y Escalabilidad):
Los lenguajes como Python y R se vuelven indispensables por su enfoque en la programación, que permite:
Reproducibilidad: El análisis se escribe como código, lo que significa que cada paso (importación, limpieza, transformación, modelado y visualización) está explícitamente documentado. Cualquier persona con el código y los datos originales puede replicar el análisis exactamente. Esto elimina la ambigüedad y el riesgo de errores manuales.
Escalabilidad: Pueden procesar conjuntos de datos masivos (millones de observaciones, limitados solo por el almacenamiento físico) de manera eficiente. El código puede ser reutilizado, modificado y aplicado a nuevos datos con facilidad, automatizando flujos de trabajo completos. Además, ofrecen bibliotecas especializadas (como Pandas en Python o Tidyverse en R) que proporcionan herramientas potentes para la manipulación y el análisis de datos.
Como ejemplo de las capacidades de estos lenguajes, un analista en R o Python podría "importar un conjunto de datos muy ruidoso, filtrarlo, formatearlo correctamente, subconjuntarlo, crear nuevas variables, transformar y normalizar, aplicar modelos estadísticos o de machine learning, implementar análisis post hoc de resultados, diseñar visualizaciones muy detalladas y luego publicarlo en un informe bien formateado o incluso un sitio web interactivo."
Puedes encontrar un ejemplo práctico que compara cómo realizar tareas comunes de análisis de datos en Excel y Python en el siguiente recurso:
Ejemplo Práctico: Excel vs Python: How to Do Common Data Analysis Tasks"</t>
  </si>
  <si>
    <t>comment_kzc0ir3</t>
  </si>
  <si>
    <t>comment_kzdi84p</t>
  </si>
  <si>
    <t>"SQL se utiliza en el análisis de datos principalmente para las siguientes tareas:
Extracción de Datos: Permite seleccionar datos específicos de una o varias tablas según criterios definidos.
Manipulación y Transformación de Datos (Data Wrangling): Se usa para limpiar datos, como manejar valores nulos, estandarizar formatos o corregir inconsistencias. También es útil para combinar conjuntos de datos, filtrar registros y agrupar información.
Análisis Exploratorio de Datos (EDA) Preliminar: Aunque no es ideal para visualizaciones gráficas, SQL es efectivo para calcular estadísticas descriptivas (como medias, medianas, sumas, conteos y cuantiles) y para identificar patrones o anomalías iniciales en los datos. Por ejemplo, en foros académicos, se discute cómo SQL puede emplearse para verificar datos faltantes o asegurar tipos de datos consistentes en una columna.
Gestión y Monitoreo: En entornos empresariales, SQL se utiliza para monitorear procesos automatizados y analizar tendencias históricas, como el seguimiento de transacciones comerciales para evaluar la calidad del servicio.
¿Por qué es una habilidad fundamental para un Data Analyst?
SQL es considerado una habilidad fundamental porque es la puerta de entrada a los datos. Sin la capacidad de extraer, limpiar y transformar datos eficientemente desde su fuente original (las bases de datos), cualquier análisis posterior en herramientas como Python o R sería inviable o extremadamente ineficiente. Permite a los analistas tener control sobre los datos desde la base, asegurando que la información utilizada para la toma de decisiones sea precisa y relevante.
Recursos recomendados para aprender y practicar SQL desde cero:
Khan Academy: Ofrece un curso gratuito para aprender los conceptos básicos de SQL.
Source URL: https://www.reddit.com/r/SQL/comments/16uk99/best_resources_to_learn_sql_and_what_should_i/
W3Schools SQL Tutorial: Un tutorial completo que cubre diversas implementaciones de SQL (MySQL, SQL Server, Oracle, etc.).
Source URL: https://www.w3schools.com/sql/
Codecademy - Learn SQL: Un curso interactivo para aprender a gestionar grandes conjuntos de datos y analizar datos reales.
Source URL: https://www.codecademy.com/learn/learn-sql
DataLemur SQL Tutorial: Proporciona puzzles de SQL para practicar y fortalecer las habilidades.
Source URL: https://datalemur.com/sql-tutorial"</t>
  </si>
  <si>
    <t>comment_j0p1613</t>
  </si>
  <si>
    <t>comment_j0pudj4</t>
  </si>
  <si>
    <t>comment_l6874rb</t>
  </si>
  <si>
    <t>comment_j0rg1w4</t>
  </si>
  <si>
    <t xml:space="preserve">"Docker es una herramienta de vital importancia para los científicos de datos, ya que permite empaquetar aplicaciones y sus entornos de ejecución de manera consistente y aislada, abordando desafíos clave en reproducibilidad, colaboración y despliegue de modelos.
Problemas que resuelve Docker:
Reproducibilidad: Docker garantiza que cualquier persona que ejecute un proyecto de ciencia de datos, ya sea un colega o el propio científico en el futuro, lo haga en el mismo entorno exacto en el que fue desarrollado. Esto incluye las versiones específicas del sistema operativo, bibliotecas, paquetes y configuraciones. De esta manera, se eliminan los problemas de "funciona en mi máquina" al estandarizar el entorno de desarrollo y ejecución. En el contexto de MLOps, esto hace que cada paso en una pipeline sea repetible y confiable para el reentrenamiento y monitoreo.
Colaboración: Facilita enormemente el trabajo en equipo. Al definir un Dockerfile (un archivo de texto con instrucciones para construir una imagen Docker), los científicos de datos pueden compartir un entorno de desarrollo estandarizado. Esto elimina la necesidad de que cada miembro del equipo configure manualmente sus máquinas con las dependencias correctas, un proceso que a menudo conduce a la "dependencia hell", especialmente en análisis geoespaciales o proyectos con muchas librerías. Un archivo docker-compose puede ser una bendición para configurar rápidamente los entornos de nuevos miembros del equipo.
Despliegue de Modelos: Docker simplifica el proceso de llevar modelos de aprendizaje automático desde el entorno de desarrollo a producción. Los modelos, junto con todas sus dependencias y un servidor API (como Flask o FastAPI), pueden ser empaquetados en un contenedor. Este contenedor es portátil y puede ejecutarse de manera consistente en cualquier servidor que tenga Docker instalado, independientemente del sistema operativo subyacente. Esto es fundamental para la producción, permitiendo que los sistemas sean desplegados en múltiples entornos y facilitando la integración con orquestadores como Kubeflow para un monitoreo y registro robustos.
Recursos en línea para aprender más:
Introducción a Docker para Proyectos de Ciencia de Datos:
"Docker for Data Science Projects: A Beginner-Friendly Introduction"
URL: https://youssefh.substack.com/p/docker-for-data-science-projects
Guía Intuitiva y Ejemplos de ML con Docker:
"An Intuitive Guide to Docker for Data Science"
URL: https://medium.com/data-science/an-intuitive-guide-to-docker-for-data-science-ba3f94e9052c
Tutorial Completo y Materiales de Proyecto en GitHub:
"Complete Dockers For Data Science Tutorial In One Shot" (Video de YouTube con materiales de GitHub)
URL: https://www.youtube.com/watch?v=8vmKtS8W7IQ
Materiales en GitHub: https://github.com/krishnaik06/Docker-For-Data-Science" </t>
  </si>
  <si>
    <t>comment_jelu17v</t>
  </si>
  <si>
    <t>"Las principales diferencias entre ggplot2 en R y las librerías de visualización más comunes en Python como matplotlib o seaborn, especialmente para la creación de gráficos de calidad para presentación, radican en su filosofía de diseño y la estética predeterminada.
Filosofía de Diseño:
ggplot2 (R): Se basa en la "Grammar of Graphics" (Gramática de los Gráficos). Este enfoque permite construir gráficos por capas, especificando los componentes de forma independiente: datos, mapeo estético (cómo las variables se relacionan con las características visuales), geometrías (puntos, líneas, barras), estadísticas, escalas, coordenadas y facetas. Esto resulta en una estructura muy consistente y facilita la creación de gráficos complejos y estéticamente agradables con un código modular.
Matplotlib (Python): Sigue un enfoque más imperativo y procedimental, similar a MATLAB. Permite un control muy granular sobre cada elemento del gráfico, pero esto a menudo significa más líneas de código para lograr visualizaciones complejas y personalizadas. Su flexibilidad es máxima, pero puede requerir más esfuerzo para que los gráficos luzcan "listos para presentación" por defecto.
Seaborn (Python): Construido sobre Matplotlib, ofrece una interfaz de alto nivel para la creación de gráficos estadísticos atractivos. Está diseñado para simplificar tareas comunes de visualización y a menudo produce gráficos con una mejor estética por defecto que Matplotlib puro, acercándose a la facilidad de uso de ggplot2 para ciertos tipos de análisis.
Estética por Defecto y Personalización:
Un punto frecuentemente mencionado por usuarios, como se observa en foros estudiantiles, es que los gráficos de ggplot2 tienden a tener un aspecto "mejor por defecto" y son "más personalizables" para presentaciones. Esto se debe a su sistema de temas y a la forma en que maneja las estéticas, facilitando la producción de gráficos pulidos con menos ajustes manuales.
Mientras que Matplotlib y Seaborn pueden producir visualizaciones de alta calidad para presentación, a menudo se requiere un mayor esfuerzo en la configuración de estilos, colores, fuentes y otros elementos visuales para alcanzar el mismo nivel de refinamiento estético que ggplot2 ofrece de forma predeterminada. Sin embargo, con un buen conocimiento de sus API y el uso de estilos predefinidos (como los de Seaborn), se pueden lograr resultados excelentes.
En resumen, mientras que ggplot2 brilla por su coherencia y estética por defecto gracias a la Gramática de los Gráficos, Matplotlib y Seaborn ofrecen una flexibilidad inmensa y capacidades para gráficos estadísticos, respectivamente, aunque pueden requerir más personalización explícita para lograr ese "look de presentación".
Recursos en línea para visualizaciones "presentation-ready" hechas en Python:
Galería de ejemplos de Matplotlib: https://matplotlib.org/stable/gallery/index.html
Galería de ejemplos de Seaborn: https://seaborn.pydata.org/examples/index.html
Plotly (interactivo y estético): https://plotly.com/python/ (Mencionado en el RAG como una buena alternativa).
Ejemplos de visualización de datos en Python - Anaconda: https://www.anaconda.com/topics/data-visualization-examples"</t>
  </si>
  <si>
    <t>comment_etqmufl</t>
  </si>
  <si>
    <t>comment_etjpefw</t>
  </si>
  <si>
    <t>comment_etm5nu3</t>
  </si>
  <si>
    <t>"Realizar un Análisis Exploratorio de Datos (EDA) directamente sobre conjuntos de datos muy grandes suele ser ineficiente debido a varias razones clave:
Consumo de Recursos Computacionales: Las operaciones de EDA, como el cálculo de estadísticas, la generación de visualizaciones o la identificación de patrones, pueden consumir una gran cantidad de memoria RAM y potencia de procesamiento, lo que ralentiza significativamente el ciclo de exploración y puede llevar a fallos por falta de recursos.
Tiempo de Procesamiento Elevado: Cada operación realizada sobre el conjunto de datos completo puede tardar mucho tiempo en ejecutarse, haciendo que el proceso iterativo y exploratorio del EDA sea extremadamente lento y frustrante.
Dificultad en la Visualización: La representación gráfica de millones de puntos de datos es compleja y a menudo poco informativa, ya que muchas tendencias y patrones pueden superponerse o quedar ocultos.
Ineficiencia en la Detección de Patrones: Con un volumen de datos masivo, la identificación manual de correlaciones, anomalías o estructuras subyacentes se vuelve una tarea abrumadora y poco práctica, especialmente en datasets con cientos o miles de características.
Para acortar el ciclo de exploración en datasets muy grandes, se utilizan diversas estrategias:
Muestreo de Datos: Consiste en seleccionar una subsección representativa del conjunto de datos original. Esto permite realizar un EDA inicial de forma rápida sobre una porción manejable de los datos. Es fundamental que el muestreo se realice de manera que preserve las características estadísticas y la distribución de los datos originales.
Reducción de Dimensionalidad: Si el problema radica en un alto número de características (columnas), se pueden aplicar técnicas para reducir su cantidad sin perder información crucial.
Filtrado y Agrupamiento de Características: Utilizar métodos como la correlación o la información mutua para identificar y eliminar características redundantes.
Métodos Incrustados (Embedded Methods): Aplicar algoritmos de selección de características como LASSO o métodos basados en árboles (por ejemplo, Boruta, Random Forest) que identifican las características más predictivas.
Técnicas de Reducción de Dimensionalidad: Visualizar los datos utilizando métodos como el Análisis de Componentes Principales (PCA) o UMAP para proyectar los datos en un espacio de menor dimensión.
Herramientas y Librerías de EDA Escalables: Utilizar herramientas diseñadas específicamente para manejar grandes volúmenes de datos de manera eficiente, como:
Dask o Modin: Estas librerías ofrecen una API similar a Pandas, pero están optimizadas para operar en conjuntos de datos que no caben en la memoria RAM, distribuyendo las computaciones.
Herramientas de EDA Automatizado: Plataformas como pandas-profiling o dtale pueden generar informes completos de EDA de manera automatizada, incluso con grandes volúmenes de datos, facilitando la identificación rápida de patrones y valores atípicos.
Almacenamiento de Datos Optimizada: Utilizar formatos de almacenamiento en columnas (columnar storage) es preferible para maximizar la eficiencia computacional en EDA de grandes datasets.
Recursos en línea para buenas prácticas de EDA en datos de grandes volúmenes:
Best Practices for Structuring Large-Scale Datasets to Optimize Computational Efficiency and Ease of Exploratory Data Analysis: Este recurso explora cómo la estructura del dataset puede impactar la eficiencia del EDA.
Source URL: http://www.zigpoll.com/content/what-are-the-best-practices-for-structuring-a-largescale-dataset-to-optimize-both-computational-efficiency-and-ease-of-exploratory-data-analysis
Best Practices for EDA and Data Cleaning on Large Datasets?: Una discusión sobre herramientas y librerías para EDA escalable, destacando la importancia del rendimiento y la eficiencia de la memoria.
Source URL: https://www.kaggle.com/questions-and-answers/575553
Cómo recorrer eficientemente cientos de características en un dataset (Mención de Reddit): Este foro presenta estrategias para trabajar con un alto número de características, incluyendo el filtrado, clustering y el uso de SHAP values.
Source URL: https://www.reddit.com/r/datascience/comments/1ly06nw/how_do_you_efficiently_traverse_hundreds_of_features_of/"</t>
  </si>
  <si>
    <t>comment_n2wmdf4</t>
  </si>
  <si>
    <t>comment_n2thlov</t>
  </si>
  <si>
    <t>post_1ly06nw</t>
  </si>
  <si>
    <t>"¿Por qué las variables categóricas de alta cardinalidad suelen ser difíciles de explorar y modelar, y qué enfoques se utilizan para representarlas? proporciona enlaces a recursos en línea (artículos, tutoriales o repositorios) donde se muestren ejemplos prácticos de cómo manejar variables categóricas de alta cardinalidad en problemas reales."</t>
  </si>
  <si>
    <t>"Las variables categóricas de alta cardinalidad, que son aquellas con un gran número de categorías únicas, presentan desafíos considerables en las Ciencias de Datos, tanto en la exploración como en el modelado.
Dificultades en la exploración y modelado:
Maldición de la Dimensionalidad: Al aplicar codificación One-Hot (una técnica común para variables categóricas), cada categoría única se transforma en una nueva columna binaria. Con alta cardinalidad, esto genera un número excesivo de características, lo que lleva a un espacio de características muy disperso. Esto no solo consume mucha memoria y tiempo computacional, sino que también dificulta que los modelos capturen relaciones significativas, aumentando el riesgo de sobreajuste (overfitting), especialmente con conjuntos de datos pequeños. Un comentario de un foro estudiantil señala que si se tiene un conjunto de datos pequeño con alta cardinalidad, no ayudará a la inferencia. URL de la fuente: https://reddit.com/r/datascience/comments/1dbptx7/best_way_to_handle_large_number_of_levels_for_a/
Problemas de Interpretación y Visualización: Una gran cantidad de categorías dificulta la exploración visual y el entendimiento de la distribución de la variable y su relación con otras características o la variable objetivo. Los gráficos se vuelven ilegibles y las estadísticas descriptivas pueden no ser tan informativas.
Enfoques para representarlas:
Existen diversas estrategias para manejar variables categóricas de alta cardinalidad, priorizando la reducción de la dimensionalidad y la preservación de la información:
Codificación de Etiquetas (Label Encoding): Asigna un valor numérico único a cada categoría. Aunque es sencilla, se debe usar con precaución ya que introduce una relación ordinal artificial que podría no existir en los datos, lo cual puede engañar a algunos algoritmos. URL de la fuente: https://reddit.com/r/datascience/comments/1dbptx7/best_way_to_handle_large_number_of_levels_for_a/
Codificación por Frecuencia/Conteo: Reemplaza cada categoría con la frecuencia o el conteo de su aparición en el conjunto de datos. Las categorías más frecuentes tendrán valores más altos, y las menos frecuentes, valores más bajos.
Codificación del Objetivo (Target Encoding / Mean Encoding): Reemplaza cada categoría con la media de la variable objetivo para esa categoría. Por ejemplo, si se predice un precio, una categoría de "tipo de casa" se reemplazará por el precio promedio de las casas de ese tipo. Esta técnica es muy efectiva pero debe manejarse con validación cruzada para evitar fugas de datos (data leakage). URL de la fuente: https://reddit.com/r/datascience/comments/1dbptx7/best_way_to_handle_large_number_of_levels_for_a/
Agrupamiento Lógico o Binning: Consiste en agrupar categorías similares o poco frecuentes en una categoría "Otros" o en grupos más grandes basados en el conocimiento del dominio o análisis exploratorio. Un comentario de un foro de estudiantes sugiere reducir a alguna agrupación lógica o simplemente descartar la característica. URL de la fuente: https://reddit.com/r/datascience/comments/1dbptx7/best_way_t_o_h_a_n_d_l_e_l_a_r_g_e_n_u_m_b_e_r_o_f_l_e_v_e_l_s_f_o_r_a/
Hashing (Hashing Encoding): Mapea categorías a un espacio de menor dimensión utilizando una función hash. Esto reduce la dimensionalidad sin requerir la creación de nuevas columnas para cada categoría, aunque puede haber colisiones (diferentes categorías mapeándose al mismo hash). Un ejemplo de esto es HashingVectorizer. URL de la fuente: https://reddit.com/r/datascience/comments/1dbptx7/best_way_to_handle_large_number_of_levels_for_a/
Embeddings de Entidades (Entity Embeddings): Especialmente útil en redes neuronales, esta técnica aprende representaciones vectoriales densas de baja dimensión para cada categoría. Es similar a los word embeddings en Procesamiento del Lenguaje Natural (NLP). El Embedding layer de Keras es un ejemplo de su implementación. URL de la fuente: https://reddit.com/r/datascience/comments/1dbptx7/best_way_to_handle_large_number_o_f_l_e_v_e_l_s_f_o_r_a/
Ejemplos prácticos y recursos en línea:
Para ver ejemplos prácticos de cómo manejar variables categóricas de alta cardinalidad en problemas reales, puedes consultar los siguientes recursos:
A Guide to Handling High Cardinality in Categorical Variables: Este artículo ofrece una visión general de las estrategias, incluyendo feature engineering y reducción de dimensionalidad. URL: https://niranjanappaji.medium.com/a-guide-to-handling-high-cardinality-in-categorical-variables-7b4101d3af68
Dealing with features that have high cardinality: Este recurso aborda específicamente el problema que surge con One-Hot Encoding y discute alternativas. URL: https://towardsdatascience.com/dealing-with-features-that-have-high-cardinality-1c9212d7ff1b/
Handling Machine Learning Categorical Data with Python Tutorial: Aunque más general, este tutorial de DataCamp explora varias técnicas de codificación que pueden aplicarse, incluyendo One-Hot y Label Encoding, que son la base para entender por qué la alta cardinalidad es un problema y cómo abordarlo con métodos más avanzados. URL: https://www.datacamp.com/tutorial/categorical-data</t>
  </si>
  <si>
    <t>comment_l7sp25u</t>
  </si>
  <si>
    <t>comment_ibeq32x</t>
  </si>
  <si>
    <t xml:space="preserve">"Las columnas que contienen listas de valores categóricos dificultan el análisis exploratorio de datos y el estudio de relaciones o correlaciones por varias razones clave:
Naturaleza no ordinal de las categorías: Los métodos de correlación, como el coeficiente de Pearson, asumen una relación lineal y la naturaleza numérica de los datos. Cuando se tienen categorías nominales (sin un orden inherente), la asignación de enteros arbitrarios (por ejemplo, 1, 2, 3) mediante técnicas como LabelEncoder no tiene sentido matemático para la correlación. "Lunes" no es "mayor" que "Martes", y una correlación calculada con estos valores numéricos sería engañosa.
Complejidad de las relaciones múltiples: Cuando una celda contiene una lista de valores categóricos (por ejemplo, una persona que ha estudiado en "UMASS Boston, Northeastern"), el valor de la celda no es una única categoría, sino una colección. Esto significa que una observación puede pertenecer a múltiples categorías simultáneamente, lo que complica la interpretación directa de la correlación con otras variables. No se puede simplemente comparar "UMASS Boston, Northeastern" con otra institución.
Alta dimensionalidad y matrices de correlación gigantes: Una solución común para manejar variables categóricas es la codificación "One-Hot Encoding" o la creación de variables dummy. Esto implica transformar cada categoría única en una nueva columna binaria (0 o 1). Si una columna original contiene una lista de categorías, cada categoría en esa lista se expandiría en su propia columna dummy. Si hay muchas categorías únicas o si las listas son largas y variadas, esto puede resultar en un número muy elevado de nuevas columnas, creando una matriz de correlación "enorme y probablemente sin sentido" debido a la gran cantidad de combinaciones posibles.
Cómo tratar este tipo de datos:
Para abordar estas dificultades y permitir el análisis, se suelen utilizar las siguientes estrategias:
Codificación One-Hot (Dummy Variables): Es la técnica más recomendada. Se expande la columna que contiene las listas de valores categóricos en múltiples columnas binarias, donde cada nueva columna representa la presencia (1) o ausencia (0) de una categoría específica. Esto permite que cada categoría sea tratada como una variable independiente y se puedan calcular correlaciones entre estas variables dummy y otras características del conjunto de datos. Por ejemplo, si una columna contiene ['A', 'B'] y otra ['A', 'C'], después de la codificación, se pueden analizar las correlaciones entre las dummies Es_A, Es_B, Es_C. La función series.str.get_dummies en Pandas es útil para convertir listas en múltiples columnas.
Estructuras de Datos Dispersas (Sparse Data Structures): Dada la alta dimensionalidad que puede surgir del One-Hot Encoding, especialmente cuando hay muchas categorías, es crucial utilizar estructuras de datos dispersas. Estas estructuras almacenan solo los valores no cero, lo que ayuda a evitar el "explosionamiento" de la memoria y mejora la eficiencia computacional.
Análisis Post-Codificación: Una vez que las categorías se han transformado en variables dummy, se pueden realizar análisis de correlación y EDA como de costumbre. Por ejemplo, se puede buscar la correlación entre una variable dummy específica (ej. "Estudió en Northeastern") y una variable numérica o binaria de interés.
Recursos:
Dificultades con LabelEncoder y la necesidad de variables dummy:
https://reddit.com/r/datascience/comments/e2sl1n/a_guided_introduction_to_exploratory_data_analysis_eda_using_python/
Reestructuración de datos con múltiples valores y uso de series.str.get_dummies:
https://reddit.com/r/datascience/comments/cttsyz/restructuring_csv_data_for_eda_with_pandas/" </t>
  </si>
  <si>
    <t>comment_exnst79</t>
  </si>
  <si>
    <t>comment_exyrdyg</t>
  </si>
  <si>
    <t xml:space="preserve">"La suma de cuadrados (Sum of Squares, SS) es una medida estadística que cuantifica la variación total o la desviación de los puntos de datos individuales con respecto a un valor central, que puede ser la media del conjunto de datos o los valores predichos por un modelo. Se calcula sumando los cuadrados de las diferencias entre cada punto de dato y ese valor central.
¿Por qué se utiliza frecuentemente como medida de error o desviación en métodos estadísticos como la regresión?
La suma de cuadrados se usa ampliamente por varias razones clave:
Penalización desproporcionada de errores grandes: Al elevar al cuadrado las diferencias (residuos), los errores más grandes tienen un impacto mucho mayor en la suma total que los errores pequeños. Esto es útil en situaciones donde las desviaciones significativas son considerablemente más costosas o importantes de minimizar. Por ejemplo, en un problema de predicción donde un error grande tiene un costo social más alto, una métrica que eleva al cuadrado los residuos penalizará más fuertemente esos errores.
Propiedades matemáticas deseables: La función de suma de cuadrados es diferenciable, lo cual es una propiedad matemática "agradable" que facilita la optimización de los modelos. En métodos como la regresión por mínimos cuadrados ordinarios (OLS), minimizar la suma de los cuadrados de los residuos permite encontrar analíticamente los parámetros del modelo que mejor se ajustan a los datos.
Base para otras medidas: Es la base para varias otras métricas y análisis estadísticos, incluyendo:
Suma de Cuadrados del Error (SSE) o Suma de Cuadrados de los Residuos (RSS): Mide la variabilidad no explicada por el modelo de regresión (la parte del error).
Suma de Cuadrados Total (SST): Mide la variabilidad total en la variable dependiente.
Suma de Cuadrados de la Regresión (SSR): Mide la variabilidad en la variable dependiente que es explicada por el modelo de regresión. La relación fundamental es SST = SSR + SSE, que es clave para calcular el coeficiente de determinación R-cuadrado, una métrica común para evaluar la bondad de ajuste de un modelo de regresión.
Relación con otras medidas de error:
Aunque la suma de cuadrados penaliza los errores grandes más fuertemente, otras medidas como la suma de los valores absolutos de los errores (MAE - Mean Absolute Error) penalizan los errores de manera lineal. La elección entre estas depende del contexto del problema y de cómo se desea penalizar los errores.
Recursos en línea para una explicación intuitiva:
Sum of Squares: Calculation, Types, and Examples - Investopedia: Explica cómo cuantifica la dispersión de los datos alrededor de la media o valores predichos.
Source URL: https://www.investopedia.com/terms/s/sum-of-squares.asp
Understanding Sum of Squares: A Guide to SST, SSR, and SSE - DataCamp: Aborda cómo calcular los diferentes tipos de suma de cuadrados (SST, SSR, SSE) para evaluar la precisión de un modelo de regresión.
Source URL: https://www.datacamp.com/tutorial/regression-sum-of-squares
What is "sum of squares" and why is it used so often? - Reddit (AskStatistics): Un foro de discusión que explica por qué se usa frecuentemente, enfatizando la penalización de errores grandes y las propiedades de diferenciabilidad.
Source URL: https://www.reddit.com/r/AskStatistics/comments/s5uciw/what_is_sum_of_squares_and_why_is_it_used_so_often/" </t>
  </si>
  <si>
    <t>comment_ht06gwr</t>
  </si>
  <si>
    <t>comment_ht09oyu</t>
  </si>
  <si>
    <t>comment_jidy4tg</t>
  </si>
  <si>
    <t>post_1349yti</t>
  </si>
  <si>
    <t>"Cuando se añade un predictor a un modelo de regresión múltiple, incluso si aporta poca información, la Suma de Errores Cuadrados (SSE) del modelo no puede aumentar y, por lo general, disminuirá. Consecuentemente, el coeficiente de determinación (R²) siempre tenderá a aumentar. Esto se debe a la forma en que los modelos de regresión lineal múltiple son ajustados y a la definición de R².
Minimización de SSE: Los modelos de regresión lineal, por el método de mínimos cuadrados ordinarios (OLS), encuentran los coeficientes de los predictores que minimizan la SSE. Al introducir un nuevo predictor, el modelo tiene una "dimensión" adicional para ajustar la línea (o hiperplano) de regresión a los puntos de datos. Esto le permite encontrar una combinación de coeficientes que, en el peor de los casos, mantendrá la SSE igual (si el nuevo predictor no tiene ninguna relación con la variable de respuesta o es una combinación lineal perfecta de los predictores existentes) o, más comúnmente, la reducirá. El modelo nunca elegirá una solución que aumente la SSE si existe una opción que la mantenga igual o la disminuya.
Ejemplo (Foro de Estudiantes): Un estudiante comparó esto con "electricidad a través de cables. Incluso si agregas un pequeño cable extra en paralelo con muy alta resistencia, la resistencia general baja". Esto ilustra cómo agregar una "ruta" adicional (un predictor) siempre puede ayudar a reducir el error total, incluso si la nueva ruta no es muy eficiente. (Fuente: https://www.reddit.com/r/AskStatistics/comments/t6ew4a/what_is_the_mathematical_proof_for_the_claim_that/)
Ejemplo Adicional (Foro de Estudiantes): Otro usuario explicó que "puedes usar este predictor para reducir aún más el error", refiriéndose a cómo un nuevo predictor puede explicar los residuos del modelo anterior. (Fuente: https://www.reddit.com/r/AskStatistics/comments/1krgau7/why_exactly_is_a_multiple_regression_model_better/)
Impacto en R²: El R² se calcula como 
1
−
S
S
E
S
S
T
1− 
SST
SSE
​
 , donde SST (Suma Total de Cuadrados) es la variabilidad total de la variable dependiente y es constante para un conjunto de datos dado. Como la SSE solo puede disminuir o permanecer igual al añadir predictores, el cociente 
S
S
E
S
S
T
SST
SSE
​
  solo puede disminuir o permanecer igual, lo que a su vez significa que R² solo puede aumentar o permanecer igual. Por lo tanto, el R² siempre aumentará (o se mantendrá) con la adición de nuevas variables.
Riesgo de sobreajuste y cómo agregar variables afecta el ajuste del modelo:
Aunque añadir predictores aumenta R² en los datos de entrenamiento, no necesariamente mejora la capacidad del modelo para predecir nuevos datos. Un modelo sobreajustado es aquel que se ha ajustado demasiado a los datos de entrenamiento, incluyendo el ruido aleatorio, y por lo tanto, no generaliza bien a datos no vistos.
Mayor complejidad del modelo: Cada predictor adicional aumenta la complejidad del modelo. Si un predictor no es realmente relevante para la relación subyacente, el modelo puede empezar a "aprender" el ruido o las fluctuaciones aleatorias en los datos de entrenamiento.
Mala generalización: Un modelo sobreajustado tendrá un excelente rendimiento en los datos de entrenamiento (alta R², baja SSE), pero un rendimiento significativamente peor en los datos de prueba o nuevos datos. Esto se debe a que las relaciones que aprendió con el ruido no se repiten en datos nuevos.
Ejemplo (Foro de Estudiantes): Un comentario lo describe claramente: "Si añades una variable insignificante a un modelo, puede introducir complejidad innecesaria. El sobreajuste ocurre cuando un modelo aprende el ruido o las fluctuaciones aleatorias en los datos de entrenamiento en lugar de los patrones subyacentes. Esto puede resultar en un modelo que funciona muy bien con los datos de entrenamiento pero mal con datos nuevos y no vistos". (Fuente: https://www.reddit.com/r/datascience/comments/1349yti/overfitting/)
Métricas para detectar sobreajuste: Para mitigar este riesgo, se utilizan métricas como el R² ajustado, que penaliza la inclusión de predictores innecesarios, o técnicas como la validación cruzada y métodos de regularización (LASSO, Ridge) para seleccionar las características más relevantes.
Recursos en línea para una explicación intuitiva:
Sobreajuste y Subajuste en Machine Learning (Visualización):
Ofrece una visualización interactiva de cómo los modelos de regresión de diferentes complejidades se ajustan a los datos y cómo esto se relaciona con el sobreajuste y subajuste. Puedes manipular puntos de datos y el grado del polinomio para ver el efecto en tiempo real.
URL: https://www.geeksforgeeks.org/underfitting-and-overfitting-in-machine-learning/ (busca las visualizaciones y explicaciones intuitivas dentro del artículo)
Entendiendo el Trade-off Sesgo-Varianza (Artículo con gráficos):
Este artículo explica de forma intuitiva el compromiso entre el sesgo y la varianza, que es fundamental para entender el sobreajuste. Utiliza gráficos para ilustrar cómo modelos más complejos pueden tener baja varianza pero alto sesgo, y viceversa, impactando el ajuste general.
URL: https://towardsdatascience.com/understanding-the-bias-variance-tradeoff-165e69e4a35d"</t>
  </si>
  <si>
    <t>N-Uso WEB</t>
  </si>
  <si>
    <t>Observaciones</t>
  </si>
  <si>
    <t>Depende mucho de la web</t>
  </si>
  <si>
    <t>Convierte las respuestas más en guías técnicas que en explicaciones pedagógicas</t>
  </si>
  <si>
    <t>Suele responder más de su conocimiento ignorando lo proveniente de las fuentes</t>
  </si>
  <si>
    <t>Tiene comportamientos incosisntesntes, hubieron preguntas donde no invocó ninguna tool</t>
  </si>
  <si>
    <t>Hubieron preguntas donde dio enlaces a recursos desde su propio conocimiento</t>
  </si>
  <si>
    <t>Hubo un pequeño porcentaje de ejecuciones que dió timeout por el tiempo que demora en hacer la respuesta, ocurria al usar varias tools varias veces y sobretodo cuando habían llamadas web</t>
  </si>
  <si>
    <t>"¿Qué es el análisis exploratorio de datos (EDA) y proporciona un enlace a un proyecto real (por ejemplo en GitHub o un notebook público) donde se vea aplicado?"</t>
  </si>
  <si>
    <t>Resultados Gémini</t>
  </si>
  <si>
    <t>a</t>
  </si>
  <si>
    <t>datascience</t>
  </si>
  <si>
    <t>subreddit</t>
  </si>
  <si>
    <t>top-n</t>
  </si>
  <si>
    <t xml:space="preserve"> Coherencia de los grupos</t>
  </si>
  <si>
    <t>Claridad de las etiquetas</t>
  </si>
  <si>
    <t>Fidelidad al contenido</t>
  </si>
  <si>
    <t>Organización del reporte</t>
  </si>
  <si>
    <t>datanalysis</t>
  </si>
  <si>
    <t>Eres un evaluador académico encargado de evaluar reportes de análisis temático
generados automáticamente a partir de preguntas reales de estudiantes
en comunidades relacionadas con Ciencia de Datos.
Tu tarea es evaluar la CALIDAD del reporte de agrupación temática
generado por un agente, comparándolo con el conjunto de preguntas
originales que sirvieron como entrada.
FORMA DE INTERACCIÓN
Después de este mensaje del sistema, recibirás UN ÚNICO MENSAJE DEL USUARIO
que contendrá la información a evaluar, organizada en los siguientes bloques:
1) MODELO EVALUADO
   Indica qué modelo generó el reporte (por ejemplo: OpenAI o Gemini).
   Esta información es solo referencial y no debe influir directamente
   en la puntuación.
2) PREGUNTAS ORIGINALES
   Lista de posts con sus títulos de preguntas reales utilizadas como entrada del agente.
   Cada pregunta se presenta como "post_xxx: .....?"
3) REPORTE DE AGRUPACIÓN
   Reporte final generado por el agente, que contiene los grupos temáticos,
   sus descripciones y ejemplos.
Debes usar únicamente esta información para realizar la evaluación.
---
ALCANCE Y REGLAS
- No generes nuevos grupos.
- No corrijas ni reestructures el reporte.
- No propongas mejoras.
- No evalúes el proceso técnico, herramientas o tiempos.
- No infieras intenciones pedagógicas.
- Evalúa únicamente la calidad del resultado presentado.
- Evalúa cada criterio de forma independiente, sin repetir argumentos usados en otros criterios.
---
ESCALA DE EVALUACIÓN (1 a 5)
Utiliza la siguiente interpretación para todos los criterios:
1 = Muy deficiente  
El criterio no se cumple o presenta errores graves.
2 = Deficiente  
El criterio se cumple parcialmente, con problemas claros.
3 = Aceptable  
El criterio se cumple de forma básica, con limitaciones evidentes.
4 = Bueno  
El criterio se cumple correctamente, con pocos problemas menores.
5 = Excelente  
El criterio se cumple de forma clara, consistente y sin problemas relevantes.
---
CRITERIOS DE EVALUACIÓN
Evalúa el reporte usando exactamente estos 4 criterios:
1. Coherencia de los grupos temáticos  
Evalúa si las preguntas agrupadas dentro de cada grupo comparten claramente
un mismo tema y si la separación entre grupos es razonable.
2. Claridad y precisión de las etiquetas de grupo  
Evalúa si los nombres de los grupos describen de forma clara y precisa
el contenido de las preguntas que incluyen.
3. Fidelidad al contenido de las preguntas  
Evalúa si el reporte se mantiene fiel al texto literal de las preguntas,
evitando inferencias, generalizaciones o suposiciones innecesarias.
4. Organización general del reporte  
Evalúa si la estructura del reporte facilita su comprensión.
---
FORMATO DE RESPUESTA OBLIGATORIO
Devuelve tu respuesta exactamente en el siguiente formato:
EVALUACIÓN DEL REPORTE
Modelo evaluado: &lt;nombre_del_modelo&gt;
Criterio 1 – Coherencia de los grupos: &lt;puntaje&gt;/5  
Justificación: &lt;texto breve&gt;
Criterio 2 – Claridad de las etiquetas: &lt;puntaje&gt;/5  
Justificación: &lt;texto breve&gt;
Criterio 3 – Fidelidad al contenido: &lt;puntaje&gt;/5  
Justificación: &lt;texto breve&gt;
Criterio 4 – Organización del reporte: &lt;puntaje&gt;/5  
Justificación: &lt;texto breve&gt;
Puntaje total: &lt;suma&gt;/20
Comentario general:
&lt;máximo 2–3 líneas&gt;</t>
  </si>
  <si>
    <t>EVALUACIÓN DEL REPORTE
Modelo evaluado: OA
Criterio 1 – Coherencia de los grupos: 4/5
Justificación: Las preguntas dentro de cada grupo comparten un tema común claro (wrangling/workflows; EDA/visualización/dashboards; modelado y validación). La separación es razonable y los “standalone” están bien justificados; solo hay una leve amplitud temática en el Grupo 3 al mezclar “splits en no supervisado” con “preprocesamiento/modelo para clasificación”.
Criterio 2 – Claridad de las etiquetas: 4/5
Justificación: Los nombres describen adecuadamente el contenido de las preguntas incluidas. Sin embargo, algunas etiquetas son algo largas/compuestas (p. ej., Grupo 3) y podrían percibirse menos específicas por abarcar varios subtemas.
Criterio 3 – Fidelidad al contenido: 4/5
Justificación: El reporte se mantiene mayormente pegado a lo que preguntan los títulos, sin atribuir detalles inexistentes. Hay pequeñas generalizaciones interpretativas (“role/value” o “evaluation practices”) pero no distorsionan el contenido original.
Criterio 4 – Organización del reporte: 5/5
Justificación: Estructura clara y consistente (conteo total, grupos numerados, “shared idea”, IDs y ejemplos), lo que facilita la lectura y verificación contra las preguntas originales.
Puntaje total: 17/20
Comentario general:
El agrupamiento es sólido y verificable con las preguntas; las etiquetas son claras y la organización es muy buena. Las únicas limitaciones provienen de cierta amplitud en un par de etiquetas y una agrupación algo “mixta” en el tema de modelado/validación.
Criterio 1 – Coherencia de los grupos: 4/5
Justificación: La mayoría de grupos reúnen preguntas claramente relacionadas (splits, EDA, Git/notebooks, algoritmos, interpretabilidad, comunicación). Sin embargo, algunos grupos son amplios y heterogéneos (p.ej., “Learning, career &amp; internships” mezcla recursos, Kaggle, econometría y MLOps) y varias preguntas “standalone” podrían encajar razonablemente en grupos existentes (dashboards/viz, time series, MMM, libros CRM, “What’s my title?”).
Criterio 2 – Claridad de las etiquetas: 4/5
Justificación: Las etiquetas suelen ser descriptivas y alineadas con el contenido (p.ej., “Train/test split…”, “Notebooks, Git…”, “Model interpretability…”). Aun así, algunas etiquetas son demasiado abarcadoras (“Learning, career &amp; internships…”, “Choosing algorithms…”) y no delimitan bien subtemas diferentes incluidos dentro del mismo grupo.
Criterio 3 – Fidelidad al contenido: 4/5
Justificación: El reporte se apoya en los títulos originales, lista IDs correctos y evita inventar detalles técnicos. Hay ligeras generalizaciones en las descripciones (“deployment/MLOps”, “strategies for big data”) que, aunque plausibles, agregan un marco más amplio que el literal de algunos títulos.
Criterio 4 – Organización del reporte: 5/5
Justificación: Presenta una estructura clara y consistente (conteo total, grupos numerados, “Shared idea”, IDs y ejemplos), y el bloque de “Unclear / Standalone” ayuda a transparentar cobertura y ambigüedad sin confundir el resto.
Puntaje total: 17/20
Comentario general:
El reporte está bien estructurado y mayormente coherente, con etiquetas comprensibles y buena trazabilidad a los posts. Las principales limitaciones son grupos demasiado amplios y varias preguntas dejadas como “standalone” pese a tener afinidad temática con otros grupos.</t>
  </si>
  <si>
    <t xml:space="preserve">EVALUACIÓN DEL REPORTE
Modelo evaluado: OA
Criterio 1 – Coherencia de los grupos: 4/5
Justificación: La mayoría de los grupos reúnen preguntas claramente afines (regresión, series de tiempo, EDA, Likert/ordinal, carrera). Hay algunas fronteras algo difusas (p. ej., “Do i need to know Python Data Structures for interviews?” dentro de “Tools…” y el pronóstico de ventas podría encajar también en regresión), pero en general la separación es razonable.
Criterio 2 – Claridad de las etiquetas: 4/5
Justificación: Las etiquetas describen bien el contenido (“Regression methods…”, “Time series &amp; forecasting”, “Career…”). Algunas son amplias (“Tools, environments and automation…”) y mezclan subtemas heterogéneos (entrevistas, notebooks, SQL/Python, automatización, ChatGPT), lo que reduce precisión, aunque siguen siendo comprensibles.
Criterio 3 – Fidelidad al contenido: 4/5
Justificación: Las descripciones se mantienen cercanas a los títulos y no introducen supuestos fuertes. Sin embargo, hay un caso donde una pregunta claramente “solicitud de ayuda/asesoría” (post_w94258) se deja como “Unclear”, pese a que el propio reporte sí tiene un grupo de “Requests for help”.
Criterio 4 – Organización del reporte: 4/5
Justificación: Estructura clara: grupos numerados, idea compartida, lista de IDs y ejemplos. La sección “Unclear / Standalone” ayuda a transparentar límites, aunque la consistencia de formato en “Example titles” es ligeramente irregular.
Puntaje total: 16/20
Comentario general:
El reporte agrupa de forma mayormente sólida y legible, con etiquetas generalmente acertadas. Presenta leves inconsistencias de clasificación en algunos casos fronterizos y en al menos una pregunta “de ayuda” marcada como “Unclear”.
</t>
  </si>
  <si>
    <t xml:space="preserve">EVALUACIÓN DEL REPORTE
Modelo evaluado: google
Criterio 1 – Coherencia de los grupos: 4/5
Justificación: En general, las preguntas dentro de cada grupo comparten un tema claro (splits, elección de herramientas, EDA, workflow/Git, recursos/carrera). Hay un caso menos coherente: en “Regression and Predictive Modeling Concepts” se incluye un post sobre árboles de decisión/regresión (post_r16qs1) que encaja mejor como “árboles/ML” que como “regresión” estricta.
Criterio 2 – Claridad de las etiquetas: 4/5
Justificación: Las etiquetas describen bien el contenido (“Train/Test Split”, “EDA Tools”, “Workflow and Collaboration”, etc.). La etiqueta de “Regression and Predictive Modeling Concepts” es algo amplia y mezcla “regresión” con “modelado predictivo” general, lo que reduce precisión respecto a los posts incluidos.
Criterio 3 – Fidelidad al contenido: 4/5
Justificación: Las descripciones se mantienen cercanas a los títulos y no inventan detalles técnicos específicos. Algunas generalizaciones (“interpretation techniques” o “centered around regression”) abarcan más de lo literalmente preguntado en ciertos posts (p.ej., árboles, predicción general), pero sin agregar información falsa.
Criterio 4 – Organización del reporte: 3/5
Justificación: La estructura por grupos con “Shared idea”, lista de IDs y ejemplos es clara. Sin embargo, hay una cantidad grande de preguntas en “Unclear / Standalone” que sí tienen temática identificable, lo que hace que el reporte quede menos organizado y parezca incompleto como agrupación global.
Puntaje total: 15/20
Comentario general:
El reporte agrupa correctamente varios núcleos temáticos principales y presenta una estructura legible. La principal limitación es la sobre-utilización de “Standalone” y alguna asignación discutible en el grupo de regresión/modelado.
</t>
  </si>
  <si>
    <t>EVALUACIÓN DEL REPORTE
Modelo evaluado: GOOGLE
Criterio 1 – Coherencia de los grupos: 3/5
Justificación: Dentro de cada grupo, las preguntas sí comparten un tema reconocible (p. ej., splits, EDA, carrera, Jupyter). Sin embargo, varias preguntas “standalone” tienen afinidad clara con grupos existentes (p. ej., presentación de modelos con el grupo de predicción; Kaggle/curso/libros con carrera/learning; paquetes en JavaScript con herramientas/lenguajes), lo que debilita la separación global.
Criterio 2 – Claridad de las etiquetas: 4/5
Justificación: Las etiquetas son en general descriptivas y alineadas con los títulos (p. ej., “Train/Test Split Timing…”, “Jupyter Notebook Workflow…”). Hay cierta imprecisión en “SQL vs Python…” al incluir una pregunta de R vs Python, aunque sigue siendo “elección de herramientas/lenguajes” para tareas DS.
Criterio 3 – Fidelidad al contenido: 5/5
Justificación: El reporte se mantiene cercano al texto de las preguntas, usando los títulos como evidencia y describiendo los temas sin introducir supuestos fuertes ni reinterpretaciones (p. ej., no inventa contexto extra sobre datasets, empresas o nivel de experiencia).
Criterio 4 – Organización del reporte: 4/5
Justificación: La estructura es fácil de seguir (conteo total, grupos numerados, idea compartida, IDs y ejemplos, más lista de “standalone”). Pequeños detalles de presentación (lista de Post IDs con guiones en vez de separadores claros) no impiden la comprensión.
Puntaje total: 16/20
Comentario general:
Agrupación mayormente sólida y legible, con buena fidelidad a los títulos. La principal debilidad es el uso amplio de “standalone” para preguntas que encajan razonablemente en grupos ya definidos.</t>
  </si>
  <si>
    <t xml:space="preserve">GPT 5.2 </t>
  </si>
  <si>
    <t>EVALUACIÓN DEL REPORTE
Modelo evaluado: GOOGLE
Criterio 1 – Coherencia de los grupos: 3/5
Justificación: Los grupos 1 (regresión), 2 (EDA) y 3 (carrera/recursos) son internamente coherentes. Sin embargo, el Grupo 5 mezcla temas bastante heterogéneos (perfilado/validación, Likert, muestreo no aleatorio, búsqueda de datasets, elección de método, series de fechas), lo que reduce la cohesión y la separación temática global.
Criterio 2 – Claridad de las etiquetas: 3/5
Justificación: Las etiquetas de los Grupos 1–4 describen bien el contenido. En cambio, “Specific Analytical Techniques &amp; Data Types” es demasiado amplia y no anticipa con precisión la variedad incluida; “Unclear / Standalone Questions” es comprensible como categoría operativa, pero no informa del tema.
Criterio 3 – Fidelidad al contenido: 4/5
Justificación: Las descripciones se mantienen cercanas a lo que dicen los títulos (p. ej., regresión, EDA, comparación de herramientas, SQL/Python). Hay algunas clasificaciones discutibles por el título (p. ej., ARIMA en Excel dentro de “herramientas/lenguajes” más que técnica), pero no se observan afirmaciones inventadas sobre el contenido.
Criterio 4 – Organización del reporte: 4/5
Justificación: Estructura clara por grupos, con “Shared idea”, lista de Post IDs y ejemplos de títulos, lo que facilita verificar cobertura. La presencia de un bloque final para “standalone” ayuda a transparentar lo no clasificado, aunque deja parte del conjunto menos utilizable temáticamente.
Puntaje total: 14/20
Comentario general:
El reporte cubre bien los ejes principales (regresión, EDA, carrera y herramientas), pero la calidad baja en el Grupo 5 por ser un “cajón de sastre”. En conjunto es legible y mayormente fiel a los títulos, con coherencia desigual entre grupos.</t>
  </si>
  <si>
    <t>T-Ejecución</t>
  </si>
  <si>
    <t>EVALUACIÓN DEL REPORTE
Modelo evaluado: GOOGLE
Criterio 1 – Coherencia de los grupos: 2/5
Justificación: Los dos grupos creados son internamente coherentes (Jupyter/workflow y ML/splitting), pero la separación deja demasiadas preguntas como “standalone” que comparten afinidades temáticas evidentes entre sí, lo que reduce la coherencia global del agrupamiento.
Criterio 2 – Claridad de las etiquetas: 4/5
Justificación: Las etiquetas “Jupyter Notebook &amp; Workflow” y “Model Selection &amp; Data Splitting” describen bien el contenido de las preguntas incluidas; son comprensibles y específicas.
Criterio 3 – Fidelidad al contenido: 4/5
Justificación: Las descripciones se mantienen cercanas a lo que dicen literalmente los títulos (uso de Jupyter, workflow, split en no supervisado, selección/modelado), sin añadir supuestos fuertes ni interpretaciones excesivas.
Criterio 4 – Organización del reporte: 4/5
Justificación: La estructura es fácil de seguir (conteo, grupos con idea compartida y ejemplos, y sección de preguntas sueltas). Como detalle menor, el formato “Post IDs: post_dbwuqu - post_hs2cbj” puede resultar ambiguo sobre qué elementos exactos incluye.
Puntaje total: 15/20
Comentario general:
El reporte es claro y fiel, y los grupos existentes están bien formados. Sin embargo, el exceso de preguntas relegadas a “standalone” debilita la cobertura temática y la coherencia general del agrupamiento.</t>
  </si>
  <si>
    <t>EVALUACIÓN DEL REPORTE
Modelo evaluado: OpenAI
Criterio 1 – Coherencia de los grupos: 3/5
Justificación: La mayoría de grupos reúnen preguntas claramente relacionadas (splits, EDA, Git/notebooks, algoritmos, interpretabilidad, comunicación). Sin embargo, algunos grupos son amplios y heterogéneos (p.ej., “Learning, career &amp; internships” mezcla recursos, Kaggle, econometría y MLOps) y varias preguntas “standalone” podrían encajar razonablemente en grupos existentes (dashboards/viz, time series, MMM, libros CRM, “What’s my title?”).
Criterio 2 – Claridad de las etiquetas: 4/5
Justificación: Las etiquetas suelen ser descriptivas y alineadas con el contenido (p.ej., “Train/test split…”, “Notebooks, Git…”, “Model interpretability…”). Aun así, algunas etiquetas son demasiado abarcadoras (“Learning, career &amp; internships…”, “Choosing algorithms…”) y no delimitan bien subtemas diferentes incluidos dentro del mismo grupo.
Criterio 3 – Fidelidad al contenido: 4/5
Justificación: El reporte se apoya en los títulos originales, lista IDs correctos y evita inventar detalles técnicos. Hay ligeras generalizaciones en las descripciones (“deployment/MLOps”, “strategies for big data”) que, aunque plausibles, agregan un marco más amplio que el literal de algunos títulos.
Criterio 4 – Organización del reporte: 5/5
Justificación: Presenta una estructura clara y consistente (conteo total, grupos numerados, “Shared idea”, IDs y ejemplos), y el bloque de “Unclear / Standalone” ayuda a transparentar cobertura y ambigüedad sin confundir el resto.
Puntaje total: 17/20
Comentario general:
El reporte está bien estructurado y mayormente coherente, con etiquetas comprensibles y buena trazabilidad a los posts. Las principales limitaciones son grupos demasiado amplios y varias preguntas dejadas como “standalone” pese a tener afinidad temática con otros grupos.</t>
  </si>
  <si>
    <t>T-tool</t>
  </si>
  <si>
    <t>EVALUACIÓN DEL REPORTE
Modelo evaluado: OpenAI
Criterio 1 – Coherencia de los grupos: 3/5
Justificación: Varios grupos son coherentes (p. ej., splitting train/test; recursos de aprendizaje; carrera). Sin embargo, el Grupo 3 es demasiado heterogéneo (mezcla EDA con Git/JupyterLab, dashboards personales y workflows cloud), y el Grupo 6 incorpora una pregunta de “visualización/insights” de sentiment analysis que no encaja claramente con “modeling choices/comunicar resultados”.
Criterio 2 – Claridad de las etiquetas: 4/5
Justificación: Las etiquetas describen en general bien el contenido (especialmente Grupos 1, 2, 4 y 5). El Grupo 3 es claro pero excesivamente amplio y largo; aun así, refleja lo que incluye.
Criterio 3 – Fidelidad al contenido: 4/5
Justificación: El reporte se apoya mayormente en el texto literal de los títulos y no inventa detalles técnicos. Hay leves generalizaciones (“portfolio content” en Grupo 4; “communicating results” en Grupo 6) que no están explícitas en todos los títulos incluidos.
Criterio 4 – Organización del reporte: 4/5
Justificación: Presenta estructura consistente (grupos numerados, idea compartida, IDs y ejemplos). La lectura es fácil, aunque el bloque “Unclear/Standalone” es redundante al estar vacío y hay pequeños detalles de formato (escape de \n).
Puntaje total: 15/20
Comentario general:
El reporte cubre todas las preguntas y la mayoría de agrupaciones es razonable, pero hay sobre-agrupación en “EDA/tools/workflows” y cierta mezcla temática en el grupo de modelado/comunicación que reduce la consistencia interna.</t>
  </si>
  <si>
    <t>EVALUACIÓN DE LA PLANIFICACIÓN
Modelo evaluado: ADDIE
Criterio 1 – Alineación con el tema seleccionado: 5/5
Justificación: La planificación se mantiene consistentemente centrada en limpieza de datos, comparación SQL vs Python y reshaping/normalización de CSVs (split/explode, melt/pivot), sin desviarse hacia tópicos no pertinentes.
Criterio 2 – Coherencia pedagógica del modelo ADDIE: 4/5
Justificación: La brecha, los objetivos, las actividades (demo dual + práctica), los materiales (notebooks, scripts, datasets) y la evaluación (entregables con rúbrica) guardan una relación lógica. Hay coherencia general, aunque algunos elementos (p. ej., “pruebas unitarias/logs” y “tests automatizados”) aparecen como expectativas fuertes sin detallar su integración didáctica en las actividades.
Criterio 3 – Claridad y utilidad para el docente: 4/5
Justificación: Es usable: incluye objetivo, contenidos, estrategia, entregables, herramientas, cronograma y soporte. La redacción es clara y operativa; aun así, ciertas formulaciones son amplias (p. ej., elección de motor SQL específico para funciones como UNNEST/STRING_SPLIT) y podrían requerir decisiones adicionales del docente para implementarse tal cual.
Criterio 4 – Adecuación al contexto de Ciencias de Datos: 5/5
Justificación: Las herramientas y prácticas propuestas (pandas, SQL en Postgres/SQLite, polars/dask, pyarrow, reproducibilidad con Git/Docker/envs) son pertinentes para flujos reales de ciencia de datos y se relacionan directamente con el problema del curso (wrangling y reshaping).
Criterio 5 – Realismo y profundidad de la planificación: 4/5
Justificación: El alcance y los tiempos son razonables para un taller universitario (dos sesiones + trabajo autónomo) y el nivel de profundidad es adecuado (transformaciones clave, reproducibilidad, consideraciones de rendimiento). Algunos componentes (dataset de 1M filas, benchmarking/tiempo de ejecución como KPI, y entrega “SQL y Python”) pueden resultar exigentes según el nivel del grupo, pero siguen siendo plausibles como diseño de módulo aplicado.
Puntaje total: 22/25
Comentario general:
Planificación sólida, muy alineada con el tema y con enfoque práctico propio de Ciencias de Datos, con buena articulación entre objetivos, actividades y evaluación. Presenta un nivel de ambición elevado en reproducibilidad y medición (tests/KPIs) que, aunque pertinente, puede requerir ajustes operativos para asegurar implementación consistente en distintos contextos de curso.</t>
  </si>
  <si>
    <t>Eres un evaluador académico imparcial especializado en diseño instruccional
para educación universitaria en Ciencias de Datos.
Tu tarea es evaluar planificaciones de clase generadas por un asistente
basadas en el modelo ADDIE.
RECIBIRÁS COMO ENTRADA:
1) El tema seleccionado por el docente.
2) El reporte de análisis temático (solo como contexto).
3) La planificación ADDIE generada por el sistema.
Tu evaluación debe centrarse ÚNICAMENTE en la planificación generada.
No evalúes el código, el sistema ni el proceso de generación.
No debes reescribir la planificación ni sugerir mejoras detalladas.
Tu rol es únicamente evaluador.
---
### CRITERIOS DE EVALUACIÓN
Evalúa la planificación usando los siguientes criterios.
Para cada criterio asigna un puntaje de 1 a 5 según una escala tipo Likert:
1 = Muy deficiente  
2 = Deficiente  
3 = Aceptable  
4 = Bueno  
5 = Muy bueno  
#### Criterio 1 – Alineación con el tema seleccionado
Evalúa si la planificación se mantiene claramente enfocada en el tema elegido,
sin mezclar otros tópicos ni desviarse del objetivo.
#### Criterio 2 – Coherencia pedagógica del modelo ADDIE
Evalúa si existe una relación lógica entre la brecha identificada, los objetivos,
las actividades, los materiales y la evaluación.
#### Criterio 3 – Claridad y utilidad para el docente
Evalúa si la planificación es clara, comprensible y usable como apoyo real
para un docente universitario.
#### Criterio 4 – Adecuación al contexto de Ciencias de Datos
Evalúa si los contenidos, herramientas y recursos propuestos son adecuados
para el área de Ciencias de Datos y relevantes para el tema tratado.
#### Criterio 5 – Realismo y profundidad de la planificación
Evalúa si la planificación propone un alcance razonable, tiempos creíbles
y un nivel de profundidad adecuado, evitando ser excesivamente genérica
o irrealista.
---
### FORMATO DE RESPUESTA (OBLIGATORIO)
Devuelve la evaluación usando EXACTAMENTE el siguiente formato:
EVALUACIÓN DE LA PLANIFICACIÓN
Modelo evaluado: &lt;nombre del modelo&gt;
Criterio 1 – &lt;nombre del criterio&gt;: X/5  
Justificación: &lt;breve explicación&gt;
Criterio 2 – &lt;nombre del criterio&gt;: X/5  
Justificación: &lt;breve explicación&gt;
Criterio 3 – &lt;nombre del criterio&gt;: X/5  
Justificación: &lt;breve explicación&gt;
Criterio 4 – &lt;nombre del criterio&gt;: X/5  
Justificación: &lt;breve explicación&gt;
Criterio 5 – &lt;nombre del criterio&gt;: X/5  
Justificación: &lt;breve explicación&gt;
Puntaje total: XX/25
Comentario general:
&lt;comentario sintético sobre la calidad global de la planificación&gt;
---
REGLAS ADICIONALES
- Sé crítico pero justo.
- Basa tu evaluación en el contenido proporcionado.
- No inventes información.
- No incluyas sugerencias de mejora detalladas.\</t>
  </si>
  <si>
    <t>Prompt:</t>
  </si>
  <si>
    <t>Prompt</t>
  </si>
  <si>
    <t>Coherencia pedagógica del modelo ADDIE:</t>
  </si>
  <si>
    <t>Alineación con el tema seleccionado</t>
  </si>
  <si>
    <t xml:space="preserve"> Claridad y utilidad para el docente:</t>
  </si>
  <si>
    <t>Adecuación al contexto de Ciencias de Datos</t>
  </si>
  <si>
    <t>Realismo y profundidad de la planificación</t>
  </si>
  <si>
    <t>EVALUACIÓN DE LA PLANIFICACIÓN
Modelo evaluado: ADDIE
Criterio 1 – Alineación con el tema seleccionado: 5/5
Justificación: La planificación se centra de forma consistente en la decisión SQL vs Python aplicada a limpieza de datos y en cómo evidenciar el valor de proyectos de data cleaning, sin desviarse hacia otros tópicos del reporte.
Criterio 2 – Coherencia pedagógica del modelo ADDIE: 4/5
Justificación: Hay una línea lógica clara entre la brecha (confusión herramienta/valor), los objetivos (seleccionar, implementar en ambos, comparar, justificar), las actividades (lab dual + peer review), los materiales (plantillas, tests, rúbrica) y la evaluación (artefactos y métricas). La coherencia es alta, aunque algunos KPIs (p. ej., eficiencia/memoria) quedan como “si aplica” y pueden no estar igualmente integrados para todos los estudiantes.
Criterio 3 – Claridad y utilidad para el docente: 4/5
Justificación: Es entendible, accionable y con elementos operativos útiles (cronograma, herramientas, entregables, soporte). Mantiene un nivel de especificidad adecuado para orientar implementación real, aunque ciertos componentes (dataset “realista”, detalle de reglas de limpieza, rúbrica) quedan referidos pero no delimitados en la planificación.
Criterio 4 – Adecuación al contexto de Ciencias de Datos: 5/5
Justificación: Contenidos y herramientas son pertinentes (SQL, pandas, notebooks, DuckDB/SQLite/Postgres, tests, control de versiones, métricas de calidad y reproducibilidad), alineados con prácticas habituales de ciencia de datos y data engineering ligera en entorno universitario.
Criterio 5 – Realismo y profundidad de la planificación: 4/5
Justificación: El alcance (comparar implementaciones, medir, documentar valor) es ambicioso pero razonable con el tiempo propuesto (sesión + 2–3 h + peer review). Presenta buena profundidad técnica y evaluativa; aun así, la carga total puede variar mucho según el nivel previo del grupo y la complejidad concreta del dataset/reglas, lo que introduce cierta incertidumbre de realismo.
Puntaje total: 22/25
Comentario general:
Planificación sólida, bien alineada con el tema y con enfoque práctico-evaluable; integra comparación SQL/Python con evidencia de valor mediante métricas y entregables reproducibles. Es mayormente clara y aplicable, con leves zonas de indeterminación en el detalle operativo de algunos instrumentos (dataset/reglas/rúbrica) y en la aplicabilidad uniforme de ciertos indicadores.</t>
  </si>
  <si>
    <t>EVALUACIÓN DE LA PLANIFICACIÓN
Modelo evaluado: ADDIE
Criterio 1 – Alineación con el tema seleccionado: 4/5
Justificación: La planificación se centra claramente en herramientas, entornos y automatización (Python/pandas, SQL, notebooks, pipelines, orquestación). Sin embargo, el tema incluye explícitamente ChatGPT y no se integra en objetivos, actividades ni evaluación, por lo que la alineación no es completa.
Criterio 2 – Coherencia pedagógica del modelo ADDIE: 4/5
Justificación: Existe una conexión lógica entre la brecha detectada (selección de herramientas/workflows y valor del wrangling), los objetivos, el enfoque activo (caso + laboratorio) y una evaluación alineada (pipeline + informe justificativo + métricas). La secuencia general es consistente, aunque la amplitud de herramientas mencionadas puede tensionar la linealidad entre lo que se “enseña” en 3 horas y lo que se “evalúa”.
Criterio 3 – Claridad y utilidad para el docente: 4/5
Justificación: Presenta objetivos, contenidos, entregables, cronograma, materiales y mecanismos de soporte de manera clara y operativa. Se describen pasos de acceso y se concreta el formato de evaluación con rúbrica. Aun así, el nivel de detalle para implementar (p. ej., requerimientos mínimos del dataset, criterios de selección del caso) queda parcialmente implícito.
Criterio 4 – Adecuación al contexto de Ciencias de Datos: 5/5
Justificación: Las herramientas y prácticas propuestas (pandas, SQL, PySpark, Databricks, dbt, Airflow, Docker, CI) son pertinentes y actuales para workflows de Ciencia de Datos/Ingeniería de Datos orientados a wrangling y producción. Además, incorpora métricas de calidad de datos y reproducibilidad, elementos centrales en el área.
Criterio 5 – Realismo y profundidad de la planificación: 3/5
Justificación: El diseño es ambicioso: cubre comparación de tecnologías, patrones notebook→producción, orquestación y CI/CD, y además espera un “pipeline funcional” con métricas y documentación. Aunque se compensa con una semana de entrega, la carga y la diversidad de herramientas (Airflow/dbt/cloud/Docker/Terraform opcional) puede resultar elevada para el tiempo presencial previsto y para cohortes con heterogeneidad de experiencia.
Puntaje total: 20/25
Comentario general:
Planificación sólida y bien alineada con prácticas reales de Ciencia de Datos para selección de herramientas y automatización de wrangling, con evaluación auténtica y criterios claros. Su principal debilidad frente al tema declarado es la ausencia de integración de ChatGPT y un alcance potencialmente demasiado amplio para el tiempo propuesto.</t>
  </si>
  <si>
    <t>EVALUACIÓN DE LA PLANIFICACIÓN
Modelo evaluado: ADDIE
Criterio 1 – Alineación con el tema seleccionado: 5/5
Justificación: La planificación se mantiene centrada de forma consistente en herramientas, entornos y automatización (Python/SQL/notebooks/ChatGPT), articulando estos componentes dentro de un flujo de trabajo reproducible.
Criterio 2 – Coherencia pedagógica del modelo ADDIE: 4/5
Justificación: Existe una relación lógica entre la brecha detectada, el objetivo general, las actividades tipo proyecto, los materiales (repo plantilla, guía, rúbrica) y la evaluación basada en producto. La fase de evaluación incluye KPIs y preguntas de reflexión coherentes, aunque algunos componentes (orquestadores alternativos, Docker, LLMs) amplían el alcance y pueden tensionar la linealidad objetivo-evidencias.
Criterio 3 – Claridad y utilidad para el docente: 4/5
Justificación: Presenta estructura clara por fases, entregables concretos, herramientas específicas y un cronograma utilizable. Aun así, la abundancia de opciones “opcionales” (Databricks/Kaggle, Airflow/Prefect, Docker) puede requerir decisiones adicionales del docente para cerrar el diseño en una implementación única.
Criterio 4 – Adecuación al contexto de Ciencias de Datos: 5/5
Justificación: Los contenidos y herramientas son altamente pertinentes (SQLAlchemy, notebooks, papermill, CI con GitHub Actions, control de versiones, gestión de secretos, logging/tests), alineados con prácticas reales de ciencia de datos y MLOps ligero, incluyendo consideraciones éticas y de seguridad para uso de LLMs.
Criterio 5 – Realismo y profundidad de la planificación: 4/5
Justificación: El alcance es sustantivo y con buena profundidad práctica (reproducibilidad, automatización, revisión por PR, ejecución automática). Los tiempos estimados son plausibles para un mini-proyecto, pero dependen de supuestos operativos no triviales (acceso a DB, configuración de credenciales/secrets, posible uso de API de ChatGPT), lo que puede introducir fricción logística.
Puntaje total: 22/25
Comentario general:
Planificación sólida, auténtica y bien alineada con el tema, con un enfoque práctico orientado a reproducibilidad y automatización. Es usable para docencia universitaria en Ciencias de Datos y muestra coherencia ADDIE, aunque su amplitud de herramientas y dependencias externas puede exigir control del alcance para garantizar una ejecución fluida en contextos variados.</t>
  </si>
  <si>
    <t>EVALUACIÓN DE LA PLANIFICACIÓN
Modelo evaluado: ADDIE
Criterio 1 – Alineación con el tema seleccionado: 3/5
Justificación: La planificación se centra en limpieza y transformación de datos, comparación SQL vs Python y reestructuración de CSVs, con herramientas y KPIs directamente vinculados al tema.
Criterio 2 – Coherencia pedagógica del modelo ADDIE: 2/5
Justificación: El documento presentado cubre principalmente implementación y evaluación; no se evidencian (en lo provisto) el análisis de brecha, objetivos de aprendizaje ni el diseño/desarrollo de actividades y materiales, dificultando verificar la trazabilidad completa propia de ADDIE.
Criterio 3 – Claridad y utilidad para el docente: 3/5
Justificación: Hay elementos utilizables (herramientas, acceso, cronograma, soporte, KPIs), pero la planificación está incompleta y fragmentada (inicia en un listado y salta a fase 4), lo que reduce su usabilidad directa como guía docente integral.
Criterio 4 – Adecuación al contexto de Ciencias de Datos: 5/5
Justificación: Las tecnologías y entornos propuestos (Pandas/Jupyter/Colab, PostgreSQL/MySQL, clientes SQL) son estándar y pertinentes para flujos de data cleaning y reshaping en Ciencias de Datos.
Criterio 5 – Realismo y profundidad de la planificación: 3/5
Justificación: La estimación de 8 horas y el soporte (foro/sesiones) son plausibles, pero la profundidad instruccional observable es limitada (poca especificación del caso práctico, criterios de logro y evidencias), quedando en un nivel relativamente general.
Puntaje total: 17/25
Comentario general:
La planificación está bien enfocada en el tema y utiliza herramientas apropiadas para Ciencias de Datos, con un cronograma y KPIs razonables. Sin embargo, al estar incompleta en las fases previas de ADDIE y con escasa especificación pedagógica del diseño/desarrollo, resulta difícil comprobar la coherencia total y usarla como planificación docente completa.</t>
  </si>
  <si>
    <t>EVALUACIÓN DE LA PLANIFICACIÓN
Modelo evaluado: ADDIE
Criterio 1 – Alineación con el tema seleccionado: 4/5
Justificación: Los recursos, la implementación y los KPIs se centran en decidir entre SQL y Python en escenarios de limpieza/análisis y en justificar el valor de proyectos de limpieza. No se observan desvíos temáticos relevantes en lo presentado.
Criterio 2 – Coherencia pedagógica del modelo ADDIE: 3/5
Justificación: Hay conexión razonable entre herramientas/entorno, actividades implícitas (caso práctico) y evaluación (KPIs y preguntas de feedback). Sin embargo, el fragmento no incluye con claridad las fases previas (análisis, diseño, desarrollo), objetivos formulados ni la “brecha” identificada, lo que limita comprobar la coherencia completa ADDIE.
Criterio 3 – Claridad y utilidad para el docente: 3/5
Justificación: La sección de implementación es operativa (acceso, soporte, tiempo total) y la evaluación define indicadores medibles. Aun así, al faltar el detalle de actividades, entregables del “caso práctico”, criterios/rúbrica y secuenciación didáctica, la usabilidad directa para impartir la clase queda parcialmente limitada.
Criterio 4 – Adecuación al contexto de Ciencias de Datos: 5/5
Justificación: Propone un stack típico y pertinente (PostgreSQL/MySQL/BigQuery/Redshift, Jupyter/VS Code, Pandas/NumPy, GitHub/Colab) alineado con flujos reales de limpieza y análisis en Ciencia de Datos, coherente con el tema SQL vs Python.
Criterio 5 – Realismo y profundidad de la planificación: 3/5
Justificación: El tiempo total (6 horas) y el soporte planteado son plausibles para una intervención breve. No obstante, la profundidad y el alcance real del aprendizaje dependen del diseño del caso y actividades (no descritos aquí), por lo que el plan resulta algo genérico en términos de nivel de exigencia y cobertura.
Puntaje total: 18/25
Comentario general:
La planificación presentada es pertinente y bastante alineada con el tema, con herramientas adecuadas y una evaluación orientada a desempeño; sin embargo, al estar incompleta (predominan implementación y evaluación), no permite verificar plenamente la coherencia ADDIE ni ofrece suficiente especificidad pedagógica para su ejecución detallada por parte del docente.</t>
  </si>
  <si>
    <t>EVALUACIÓN DE LA PLANIFICACIÓN
Modelo evaluado: ADDIE
Criterio 1 – Alineación con el tema seleccionado: 5/5
Justificación: La planificación se centra de forma consistente en herramientas, flujos de trabajo y el rol/valor del data wrangling, incluyendo explícitamente dilemas típicos (SQL vs. PySpark, integración con AWS/Jupyter) y la discusión sobre el “valor” del tiempo invertido.
Criterio 2 – Coherencia pedagógica del modelo ADDIE: 4/5
Justificación: La brecha detectada se traduce en un objetivo claro y en una estrategia ABP coherente; materiales, plataforma e implementación apoyan el logro del objetivo y la evaluación solicita evidencia alineada (reporte + demo + justificación). Falta mayor especificación de cómo se medirán los criterios de la rúbrica respecto de cada objetivo (alineación más trazable).
Criterio 3 – Claridad y utilidad para el docente: 4/5
Justificación: Presenta estructura clara por fases, con componentes accionables (contenidos, herramientas, cronograma, soporte, KPIs y preguntas de feedback). Aun así, varias partes quedan a nivel general (p. ej., “casos de estudio” y “conjuntos de datos reales” sin caracterización), lo que limita su uso inmediato sin decisiones adicionales del docente.
Criterio 4 – Adecuación al contexto de Ciencias de Datos: 5/5
Justificación: Las herramientas y entornos propuestos son pertinentes y actuales (SQL, Pandas/Dask, PySpark, Jupyter, AWS, BD relacionales), y se relacionan directamente con prácticas reales de preparación de datos en Ciencia de Datos.
Criterio 5 – Realismo y profundidad de la planificación: 4/5
Justificación: El alcance temporal (4 semanas) y la combinación de trabajo sincrónico/autónomo son plausibles para un proyecto aplicado; los KPIs son razonables. La profundidad técnica esperada podría variar mucho según el nivel del curso (especialmente al incluir AWS+PySpark+SQL+R), y no se explicita el nivel de entrada, lo que introduce cierta incertidumbre sobre la exigencia real.
Puntaje total: 22/25
Comentario general:
Planificación sólida y bien alineada con el tema, con una propuesta práctica y pertinente para Ciencias de Datos. Es útil y coherente bajo ADDIE, aunque mantiene algunos elementos demasiado generales que podrían requerir definiciones adicionales para una implementación docente inmediata y para asegurar una trazabilidad más fina entre objetivos, rúbrica y evidencias.</t>
  </si>
  <si>
    <t>EVALUACIÓN DE LA PLANIFICACIÓN
Modelo evaluado: ADDIE
Criterio 1 – Alineación con el tema seleccionado: 5/5
Justificación: La planificación se centra de forma consistente en herramientas, entornos y automatización (Python, SQL, notebooks, ChatGPT), abordando comparación, selección y uso integrado sin desviarse hacia otros contenidos ajenos.
Criterio 2 – Coherencia pedagógica del modelo ADDIE: 4/5
Justificación: La brecha detectada se traduce en objetivos claros y en una evaluación coherente (proyecto/ejercicios con justificación de elección de herramientas). Hay relación lógica entre fases, aunque algunos elementos (p. ej., KPIs) no se conectan explícitamente con evidencias/instrumentos concretos de medición.
Criterio 3 – Claridad y utilidad para el docente: 4/5
Justificación: Presenta una estructura clara por fases, con lista de contenidos, materiales y un esquema de implementación con tiempos y soporte. Aun así, permanece en un nivel relativamente general (sin detallar consignas, entregables específicos o criterios/rúbrica), lo que limita su uso inmediato “tal cual” para docencia.
Criterio 4 – Adecuación al contexto de Ciencias de Datos: 5/5
Justificación: Herramientas y recursos propuestos son pertinentes y actuales para Ciencias de Datos (Python, SQL, Jupyter/Colab, plataformas de práctica, uso de IA generativa), y se conectan con prácticas realistas del flujo de trabajo (análisis, automatización e integración de herramientas).
Criterio 5 – Realismo y profundidad de la planificación: 3/5
Justificación: El alcance temático es amplio para 4–6 horas (comparación de herramientas + fundamentos + automatización + prompts + integración), por lo que la profundidad alcanzable podría ser limitada. La planificación es razonable como introducción, pero algunos objetivos (aplicar “de forma efectiva” varias herramientas) pueden resultar ambiciosos sin mayor especificación del nivel esperado.
Puntaje total: 21/25
Comentario general:
Planificación bien alineada con el tema y adecuada al contexto de Ciencia de Datos, con buena coherencia ADDIE y utilidad general para orientar una actividad. Su principal debilidad es el nivel de generalidad y la amplitud del alcance para el tiempo estimado, lo que puede afectar la profundidad y la operatividad inmediata en aula.</t>
  </si>
  <si>
    <t>Pregunta del usuario</t>
  </si>
  <si>
    <t>Categoría de pregunta</t>
  </si>
  <si>
    <t>Respuesta Generada</t>
  </si>
  <si>
    <t>Consulta generada por el agente</t>
  </si>
  <si>
    <t>overfitting in predictive models definition</t>
  </si>
  <si>
    <t>Exploratory Data Analysis (EDA) definition and main objective</t>
  </si>
  <si>
    <t>overfitting in predictive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</si>
</sst>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1">
    <font>
      <sz val="12"/>
      <color theme="1"/>
      <name val="Calibri"/>
      <family val="2"/>
      <scheme val="minor"/>
    </font>
    <font>
      <b/>
      <sz val="12"/>
      <color theme="1"/>
      <name val="Calibri"/>
      <family val="2"/>
      <scheme val="minor"/>
    </font>
    <font>
      <sz val="9"/>
      <color theme="1"/>
      <name val="Calibri"/>
      <family val="2"/>
      <scheme val="minor"/>
    </font>
    <font>
      <sz val="10"/>
      <color theme="1"/>
      <name val="Calibri"/>
      <family val="2"/>
      <scheme val="minor"/>
    </font>
    <font>
      <i/>
      <sz val="10"/>
      <color theme="1"/>
      <name val="Calibri"/>
      <family val="2"/>
      <scheme val="minor"/>
    </font>
    <font>
      <sz val="10"/>
      <color rgb="FFFF0000"/>
      <name val="Calibri"/>
      <family val="2"/>
      <scheme val="minor"/>
    </font>
    <font>
      <i/>
      <sz val="10"/>
      <color rgb="FFFF0000"/>
      <name val="Calibri"/>
      <family val="2"/>
      <scheme val="minor"/>
    </font>
    <font>
      <b/>
      <sz val="12"/>
      <color theme="4"/>
      <name val="Calibri"/>
      <family val="2"/>
      <scheme val="minor"/>
    </font>
    <font>
      <b/>
      <sz val="12"/>
      <color theme="4"/>
      <name val="Calibri (Cuerpo)"/>
    </font>
    <font>
      <sz val="12"/>
      <color theme="4"/>
      <name val="Calibri (Cuerpo)"/>
    </font>
    <font>
      <u/>
      <sz val="12"/>
      <color theme="10"/>
      <name val="Calibri"/>
      <family val="2"/>
      <scheme val="minor"/>
    </font>
    <font>
      <b/>
      <sz val="12"/>
      <color rgb="FFFF0000"/>
      <name val="Calibri"/>
      <family val="2"/>
      <scheme val="minor"/>
    </font>
    <font>
      <b/>
      <sz val="18"/>
      <color theme="1"/>
      <name val="Calibri"/>
      <family val="2"/>
      <scheme val="minor"/>
    </font>
    <font>
      <sz val="8"/>
      <color rgb="FFE4E4E4"/>
      <name val="Consolas"/>
      <family val="3"/>
    </font>
    <font>
      <b/>
      <sz val="12"/>
      <name val="Calibri"/>
      <family val="2"/>
      <scheme val="minor"/>
    </font>
    <font>
      <sz val="12"/>
      <color rgb="FFFF0000"/>
      <name val="Calibri"/>
      <family val="2"/>
      <scheme val="minor"/>
    </font>
    <font>
      <sz val="10"/>
      <color theme="1"/>
      <name val="Arial Unicode MS"/>
    </font>
    <font>
      <sz val="12"/>
      <color rgb="FF1F1F1F"/>
      <name val="Arial"/>
      <family val="2"/>
    </font>
    <font>
      <b/>
      <sz val="12"/>
      <color rgb="FF1F1F1F"/>
      <name val="Arial"/>
      <family val="2"/>
    </font>
    <font>
      <sz val="12"/>
      <name val="Calibri"/>
      <family val="2"/>
      <scheme val="minor"/>
    </font>
    <font>
      <i/>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0" fillId="0" borderId="0" applyNumberFormat="0" applyFill="0" applyBorder="0" applyAlignment="0" applyProtection="0"/>
  </cellStyleXfs>
  <cellXfs count="80">
    <xf numFmtId="0" fontId="0" fillId="0" borderId="0" xfId="0"/>
    <xf numFmtId="0" fontId="1" fillId="0" borderId="0" xfId="0" applyFont="1"/>
    <xf numFmtId="0" fontId="1" fillId="0" borderId="1" xfId="0" applyFont="1" applyBorder="1"/>
    <xf numFmtId="0" fontId="0" fillId="0" borderId="1" xfId="0" applyBorder="1"/>
    <xf numFmtId="0" fontId="1" fillId="0" borderId="1" xfId="0" applyFont="1" applyBorder="1" applyAlignment="1">
      <alignment wrapText="1"/>
    </xf>
    <xf numFmtId="0" fontId="2" fillId="0" borderId="0" xfId="0" applyFont="1" applyAlignment="1">
      <alignment wrapText="1"/>
    </xf>
    <xf numFmtId="0" fontId="7" fillId="0" borderId="1" xfId="0" applyFont="1" applyBorder="1" applyAlignment="1">
      <alignment wrapText="1"/>
    </xf>
    <xf numFmtId="0" fontId="1" fillId="0" borderId="0" xfId="0" applyFont="1" applyAlignment="1">
      <alignment wrapText="1"/>
    </xf>
    <xf numFmtId="0" fontId="0" fillId="0" borderId="1" xfId="0" applyBorder="1"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10" fillId="0" borderId="0" xfId="1" applyFill="1" applyBorder="1" applyAlignment="1">
      <alignment wrapText="1"/>
    </xf>
    <xf numFmtId="0" fontId="0" fillId="0" borderId="0" xfId="0" applyAlignment="1">
      <alignment wrapText="1"/>
    </xf>
    <xf numFmtId="0" fontId="12" fillId="0" borderId="0" xfId="0" applyFont="1" applyAlignment="1">
      <alignment vertical="center"/>
    </xf>
    <xf numFmtId="0" fontId="0" fillId="0" borderId="0" xfId="0" applyAlignment="1">
      <alignment horizontal="left" vertical="center" indent="1"/>
    </xf>
    <xf numFmtId="0" fontId="15" fillId="0" borderId="0" xfId="0" applyFont="1"/>
    <xf numFmtId="0" fontId="16" fillId="0" borderId="0" xfId="0" applyFont="1" applyAlignment="1">
      <alignment vertical="center"/>
    </xf>
    <xf numFmtId="0" fontId="18" fillId="0" borderId="5" xfId="0" applyFont="1" applyBorder="1" applyAlignment="1">
      <alignment vertical="center" wrapText="1" readingOrder="1"/>
    </xf>
    <xf numFmtId="0" fontId="17" fillId="0" borderId="5" xfId="0" applyFont="1" applyBorder="1" applyAlignment="1">
      <alignment vertical="center" wrapText="1" readingOrder="1"/>
    </xf>
    <xf numFmtId="0" fontId="19" fillId="3" borderId="1" xfId="0" applyFont="1" applyFill="1" applyBorder="1"/>
    <xf numFmtId="0" fontId="19" fillId="0" borderId="1" xfId="0" applyFont="1" applyBorder="1"/>
    <xf numFmtId="0" fontId="19" fillId="0" borderId="0" xfId="0" applyFont="1"/>
    <xf numFmtId="0" fontId="14" fillId="0" borderId="0" xfId="0" applyFont="1"/>
    <xf numFmtId="0" fontId="20" fillId="0" borderId="0" xfId="0" applyFont="1"/>
    <xf numFmtId="0" fontId="19" fillId="3" borderId="3" xfId="0" applyFont="1" applyFill="1" applyBorder="1"/>
    <xf numFmtId="0" fontId="19" fillId="0" borderId="3" xfId="0" applyFont="1" applyBorder="1"/>
    <xf numFmtId="2" fontId="0" fillId="0" borderId="0" xfId="0" applyNumberFormat="1"/>
    <xf numFmtId="164" fontId="19" fillId="3" borderId="1" xfId="0" applyNumberFormat="1" applyFont="1" applyFill="1" applyBorder="1"/>
    <xf numFmtId="164" fontId="19" fillId="0" borderId="1" xfId="0" applyNumberFormat="1" applyFont="1" applyBorder="1"/>
    <xf numFmtId="164" fontId="19" fillId="0" borderId="0" xfId="0" applyNumberFormat="1" applyFont="1"/>
    <xf numFmtId="165" fontId="19" fillId="0" borderId="0" xfId="0" applyNumberFormat="1" applyFont="1"/>
    <xf numFmtId="2" fontId="19" fillId="0" borderId="0" xfId="0" applyNumberFormat="1" applyFont="1"/>
    <xf numFmtId="0" fontId="18" fillId="0" borderId="1" xfId="0" applyFont="1" applyBorder="1" applyAlignment="1">
      <alignment vertical="center" wrapText="1" readingOrder="1"/>
    </xf>
    <xf numFmtId="164" fontId="0" fillId="0" borderId="1" xfId="0" applyNumberFormat="1" applyBorder="1"/>
    <xf numFmtId="164" fontId="0" fillId="0" borderId="1" xfId="0" applyNumberFormat="1" applyBorder="1" applyAlignment="1">
      <alignment horizontal="center"/>
    </xf>
    <xf numFmtId="164" fontId="19" fillId="0" borderId="3" xfId="0" applyNumberFormat="1" applyFont="1" applyBorder="1"/>
    <xf numFmtId="0" fontId="18" fillId="0" borderId="0" xfId="0" applyFont="1" applyAlignment="1">
      <alignment vertical="center" wrapText="1" readingOrder="1"/>
    </xf>
    <xf numFmtId="0" fontId="11" fillId="0" borderId="1" xfId="0" applyFont="1" applyBorder="1"/>
    <xf numFmtId="0" fontId="14" fillId="2" borderId="1" xfId="0" applyFont="1" applyFill="1" applyBorder="1"/>
    <xf numFmtId="0" fontId="10" fillId="2" borderId="1" xfId="1" applyFill="1" applyBorder="1" applyAlignment="1">
      <alignment wrapText="1"/>
    </xf>
    <xf numFmtId="0" fontId="13" fillId="0" borderId="0" xfId="0" applyFont="1" applyAlignment="1">
      <alignment vertical="center"/>
    </xf>
    <xf numFmtId="0" fontId="0" fillId="0" borderId="0" xfId="0" applyAlignment="1">
      <alignment vertical="top"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0" borderId="0" xfId="0"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0" borderId="1" xfId="0"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2"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1" fillId="3" borderId="4" xfId="0" applyFont="1" applyFill="1" applyBorder="1" applyAlignment="1">
      <alignment horizontal="center" wrapText="1"/>
    </xf>
    <xf numFmtId="2" fontId="0" fillId="3" borderId="1" xfId="0" applyNumberFormat="1" applyFill="1" applyBorder="1" applyAlignment="1">
      <alignment horizontal="center"/>
    </xf>
    <xf numFmtId="4" fontId="0" fillId="0" borderId="1" xfId="0" applyNumberForma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recision@5:%20Fracci&#65533;n%20de%20documentos%20en%20top-K%20que%20son%20relevante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Precision@5:%20Fracci&#65533;n%20de%20documentos%20en%20top-K%20que%20son%20relevan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7E44B-7D37-4AE5-8355-4CCE06766D9E}">
  <sheetPr codeName="Sheet1"/>
  <dimension ref="A1:O351"/>
  <sheetViews>
    <sheetView topLeftCell="A7" zoomScale="115" zoomScaleNormal="115" workbookViewId="0">
      <selection activeCell="A7" sqref="A7"/>
    </sheetView>
  </sheetViews>
  <sheetFormatPr defaultColWidth="11.19921875" defaultRowHeight="15.6"/>
  <cols>
    <col min="1" max="1" width="28.3984375" customWidth="1"/>
    <col min="2" max="2" width="43" customWidth="1"/>
    <col min="3" max="3" width="26.8984375" customWidth="1"/>
    <col min="6" max="6" width="15.19921875" customWidth="1"/>
    <col min="7" max="7" width="26.796875" customWidth="1"/>
    <col min="8" max="8" width="41.796875" customWidth="1"/>
    <col min="9" max="9" width="26.796875" customWidth="1"/>
    <col min="10" max="11" width="26.19921875" customWidth="1"/>
    <col min="12" max="12" width="24.69921875" customWidth="1"/>
    <col min="13" max="13" width="17.5" customWidth="1"/>
    <col min="14" max="14" width="14.69921875" customWidth="1"/>
  </cols>
  <sheetData>
    <row r="1" spans="1:15">
      <c r="A1" t="s">
        <v>3</v>
      </c>
    </row>
    <row r="2" spans="1:15" s="1" customFormat="1" ht="16.2" thickBot="1">
      <c r="A2" t="s">
        <v>11</v>
      </c>
      <c r="B2"/>
      <c r="C2"/>
      <c r="G2"/>
      <c r="H2"/>
      <c r="I2"/>
      <c r="O2" s="7"/>
    </row>
    <row r="3" spans="1:15" ht="31.2" customHeight="1" thickBot="1">
      <c r="A3" s="23" t="s">
        <v>22</v>
      </c>
      <c r="B3" s="23" t="s">
        <v>0</v>
      </c>
      <c r="C3" s="23" t="s">
        <v>2</v>
      </c>
    </row>
    <row r="4" spans="1:15" ht="60.6" thickBot="1">
      <c r="A4" s="23" t="s">
        <v>1</v>
      </c>
      <c r="B4" s="24" t="s">
        <v>23</v>
      </c>
      <c r="C4" s="24" t="s">
        <v>24</v>
      </c>
      <c r="D4">
        <v>10</v>
      </c>
    </row>
    <row r="5" spans="1:15" ht="60.6" thickBot="1">
      <c r="A5" s="23" t="s">
        <v>25</v>
      </c>
      <c r="B5" s="24" t="s">
        <v>26</v>
      </c>
      <c r="C5" s="24" t="s">
        <v>156</v>
      </c>
      <c r="D5">
        <v>10</v>
      </c>
    </row>
    <row r="6" spans="1:15" ht="83.4" customHeight="1" thickBot="1">
      <c r="A6" s="23" t="s">
        <v>32</v>
      </c>
      <c r="B6" s="24" t="s">
        <v>28</v>
      </c>
      <c r="C6" s="24" t="s">
        <v>29</v>
      </c>
      <c r="D6">
        <v>10</v>
      </c>
    </row>
    <row r="7" spans="1:15" ht="118.8" customHeight="1" thickBot="1">
      <c r="A7" s="23" t="s">
        <v>33</v>
      </c>
      <c r="B7" s="24" t="s">
        <v>30</v>
      </c>
      <c r="C7" s="24" t="s">
        <v>296</v>
      </c>
      <c r="D7">
        <v>10</v>
      </c>
    </row>
    <row r="8" spans="1:15" ht="105.6" thickBot="1">
      <c r="A8" s="23" t="s">
        <v>34</v>
      </c>
      <c r="B8" s="24" t="s">
        <v>31</v>
      </c>
      <c r="C8" s="24" t="s">
        <v>531</v>
      </c>
      <c r="D8">
        <v>10</v>
      </c>
    </row>
    <row r="10" spans="1:15">
      <c r="D10" s="5"/>
      <c r="E10" s="5"/>
      <c r="F10" s="9"/>
    </row>
    <row r="11" spans="1:15">
      <c r="D11" s="5"/>
      <c r="E11" s="5"/>
      <c r="F11" s="11"/>
    </row>
    <row r="12" spans="1:15" ht="23.4">
      <c r="A12" s="19"/>
      <c r="D12" s="5"/>
      <c r="E12" s="5"/>
      <c r="F12" s="11"/>
      <c r="G12" s="10"/>
      <c r="H12" s="10"/>
    </row>
    <row r="13" spans="1:15">
      <c r="A13" s="20"/>
      <c r="E13" s="5"/>
      <c r="F13" s="11"/>
      <c r="G13" s="46"/>
      <c r="H13" s="10"/>
    </row>
    <row r="14" spans="1:15">
      <c r="D14" s="5"/>
      <c r="E14" s="5"/>
      <c r="F14" s="11"/>
      <c r="G14" s="46"/>
      <c r="H14" s="10"/>
    </row>
    <row r="15" spans="1:15">
      <c r="B15" s="12"/>
      <c r="C15" s="13"/>
      <c r="D15" s="5"/>
      <c r="E15" s="5"/>
      <c r="G15" s="46"/>
      <c r="H15" s="9"/>
      <c r="I15" s="9"/>
      <c r="J15" s="9"/>
    </row>
    <row r="16" spans="1:15">
      <c r="C16" s="13"/>
      <c r="D16" s="5"/>
      <c r="E16" s="5"/>
      <c r="G16" s="46"/>
      <c r="H16" s="11"/>
      <c r="I16" s="10"/>
      <c r="J16" s="10"/>
    </row>
    <row r="17" spans="1:14">
      <c r="A17" s="21"/>
      <c r="B17" s="14"/>
      <c r="C17" s="15"/>
      <c r="D17" s="5"/>
      <c r="E17" s="5"/>
      <c r="G17" s="46"/>
      <c r="H17" s="11"/>
      <c r="I17" s="10"/>
      <c r="J17" s="10"/>
    </row>
    <row r="18" spans="1:14">
      <c r="B18" s="12"/>
      <c r="C18" s="13"/>
      <c r="D18" s="5"/>
      <c r="E18" s="5"/>
      <c r="G18" s="46"/>
      <c r="H18" s="11"/>
      <c r="I18" s="10"/>
      <c r="J18" s="10"/>
    </row>
    <row r="19" spans="1:14">
      <c r="A19" s="20"/>
      <c r="B19" s="12"/>
      <c r="C19" s="13"/>
      <c r="D19" s="5"/>
      <c r="E19" s="5"/>
      <c r="G19" s="46"/>
      <c r="H19" s="11"/>
      <c r="I19" s="10"/>
      <c r="J19" s="10"/>
    </row>
    <row r="20" spans="1:14">
      <c r="A20" s="20"/>
      <c r="B20" s="14"/>
      <c r="C20" s="15"/>
      <c r="D20" s="5"/>
      <c r="E20" s="5"/>
      <c r="G20" s="46"/>
      <c r="H20" s="11"/>
      <c r="I20" s="10"/>
      <c r="J20" s="10"/>
    </row>
    <row r="21" spans="1:14">
      <c r="A21" s="20"/>
      <c r="B21" s="12"/>
      <c r="C21" s="13"/>
      <c r="D21" s="5"/>
      <c r="E21" s="5"/>
      <c r="G21" s="46"/>
      <c r="H21" s="11"/>
      <c r="I21" s="10"/>
      <c r="J21" s="10"/>
    </row>
    <row r="22" spans="1:14">
      <c r="A22" s="20"/>
      <c r="B22" s="12"/>
      <c r="C22" s="13"/>
      <c r="D22" s="5"/>
      <c r="E22" s="5"/>
      <c r="G22" s="46"/>
      <c r="H22" s="11"/>
      <c r="I22" s="10"/>
      <c r="J22" s="10"/>
    </row>
    <row r="23" spans="1:14">
      <c r="A23" s="20"/>
      <c r="G23" s="46" t="s">
        <v>15</v>
      </c>
      <c r="H23" s="10"/>
      <c r="I23" s="10"/>
    </row>
    <row r="24" spans="1:14">
      <c r="G24" s="46" t="s">
        <v>16</v>
      </c>
    </row>
    <row r="28" spans="1:14">
      <c r="A28" s="22"/>
    </row>
    <row r="29" spans="1:14">
      <c r="A29" s="22"/>
    </row>
    <row r="30" spans="1:14">
      <c r="A30" s="22"/>
      <c r="F30" s="55"/>
      <c r="G30" s="55"/>
      <c r="H30" s="55"/>
      <c r="I30" s="55"/>
      <c r="J30" s="55"/>
      <c r="K30" s="55"/>
      <c r="L30" s="56"/>
      <c r="M30" s="56"/>
      <c r="N30" s="56"/>
    </row>
    <row r="31" spans="1:14">
      <c r="B31" s="16"/>
      <c r="C31" s="1"/>
      <c r="D31" s="1"/>
      <c r="E31" s="1"/>
      <c r="F31" s="7"/>
      <c r="G31" s="7"/>
      <c r="H31" s="7"/>
      <c r="I31" s="17"/>
      <c r="J31" s="1"/>
      <c r="K31" s="7"/>
      <c r="L31" s="18"/>
      <c r="M31" s="18"/>
      <c r="N31" s="18"/>
    </row>
    <row r="32" spans="1:14">
      <c r="A32" s="22"/>
    </row>
    <row r="33" spans="1:2">
      <c r="A33" s="22"/>
    </row>
    <row r="34" spans="1:2">
      <c r="A34" s="22"/>
    </row>
    <row r="36" spans="1:2">
      <c r="A36" s="22"/>
    </row>
    <row r="37" spans="1:2">
      <c r="A37" s="22"/>
    </row>
    <row r="38" spans="1:2">
      <c r="A38" s="22"/>
    </row>
    <row r="40" spans="1:2">
      <c r="A40" s="22"/>
    </row>
    <row r="41" spans="1:2" ht="31.2">
      <c r="A41" s="22"/>
      <c r="B41" s="4" t="s">
        <v>62</v>
      </c>
    </row>
    <row r="42" spans="1:2">
      <c r="A42" s="22"/>
      <c r="B42" s="57" t="s">
        <v>64</v>
      </c>
    </row>
    <row r="43" spans="1:2">
      <c r="B43" s="58"/>
    </row>
    <row r="44" spans="1:2">
      <c r="A44" s="22"/>
      <c r="B44" s="58"/>
    </row>
    <row r="45" spans="1:2">
      <c r="A45" s="22"/>
      <c r="B45" s="58"/>
    </row>
    <row r="46" spans="1:2">
      <c r="A46" s="22"/>
      <c r="B46" s="59"/>
    </row>
    <row r="47" spans="1:2">
      <c r="B47" s="57" t="s">
        <v>64</v>
      </c>
    </row>
    <row r="48" spans="1:2">
      <c r="A48" s="22"/>
      <c r="B48" s="58"/>
    </row>
    <row r="49" spans="1:2">
      <c r="A49" s="22"/>
      <c r="B49" s="58"/>
    </row>
    <row r="50" spans="1:2" ht="12.6" customHeight="1">
      <c r="A50" s="22"/>
      <c r="B50" s="58"/>
    </row>
    <row r="51" spans="1:2">
      <c r="B51" s="59"/>
    </row>
    <row r="52" spans="1:2">
      <c r="A52" s="22"/>
      <c r="B52" s="57" t="s">
        <v>64</v>
      </c>
    </row>
    <row r="53" spans="1:2">
      <c r="A53" s="22"/>
      <c r="B53" s="58"/>
    </row>
    <row r="54" spans="1:2">
      <c r="A54" s="22"/>
      <c r="B54" s="58"/>
    </row>
    <row r="55" spans="1:2">
      <c r="B55" s="58"/>
    </row>
    <row r="56" spans="1:2">
      <c r="A56" s="22"/>
      <c r="B56" s="59"/>
    </row>
    <row r="57" spans="1:2">
      <c r="A57" s="22"/>
      <c r="B57" s="57" t="s">
        <v>64</v>
      </c>
    </row>
    <row r="58" spans="1:2">
      <c r="A58" s="22"/>
      <c r="B58" s="58"/>
    </row>
    <row r="59" spans="1:2">
      <c r="B59" s="58"/>
    </row>
    <row r="60" spans="1:2">
      <c r="A60" s="22"/>
      <c r="B60" s="58"/>
    </row>
    <row r="61" spans="1:2">
      <c r="A61" s="22"/>
      <c r="B61" s="59"/>
    </row>
    <row r="62" spans="1:2">
      <c r="A62" s="22"/>
      <c r="B62" s="57" t="s">
        <v>64</v>
      </c>
    </row>
    <row r="63" spans="1:2">
      <c r="B63" s="58"/>
    </row>
    <row r="64" spans="1:2">
      <c r="A64" s="22"/>
      <c r="B64" s="58"/>
    </row>
    <row r="65" spans="1:2">
      <c r="A65" s="22"/>
      <c r="B65" s="58"/>
    </row>
    <row r="66" spans="1:2">
      <c r="A66" s="22"/>
      <c r="B66" s="59"/>
    </row>
    <row r="67" spans="1:2">
      <c r="B67" s="57" t="s">
        <v>64</v>
      </c>
    </row>
    <row r="68" spans="1:2">
      <c r="A68" s="22"/>
      <c r="B68" s="58"/>
    </row>
    <row r="69" spans="1:2">
      <c r="A69" s="22"/>
      <c r="B69" s="58"/>
    </row>
    <row r="70" spans="1:2">
      <c r="A70" s="22"/>
      <c r="B70" s="58"/>
    </row>
    <row r="71" spans="1:2">
      <c r="B71" s="59"/>
    </row>
    <row r="72" spans="1:2">
      <c r="B72" s="57" t="s">
        <v>76</v>
      </c>
    </row>
    <row r="73" spans="1:2">
      <c r="B73" s="58"/>
    </row>
    <row r="74" spans="1:2">
      <c r="B74" s="58"/>
    </row>
    <row r="75" spans="1:2">
      <c r="A75" s="20"/>
      <c r="B75" s="58"/>
    </row>
    <row r="76" spans="1:2">
      <c r="A76" s="20"/>
      <c r="B76" s="59"/>
    </row>
    <row r="77" spans="1:2">
      <c r="A77" s="20"/>
      <c r="B77" s="57" t="s">
        <v>76</v>
      </c>
    </row>
    <row r="78" spans="1:2">
      <c r="A78" s="20"/>
      <c r="B78" s="58"/>
    </row>
    <row r="79" spans="1:2">
      <c r="B79" s="58"/>
    </row>
    <row r="80" spans="1:2">
      <c r="B80" s="58"/>
    </row>
    <row r="81" spans="1:2">
      <c r="A81" s="20"/>
      <c r="B81" s="59"/>
    </row>
    <row r="82" spans="1:2">
      <c r="A82" s="20"/>
      <c r="B82" s="57" t="s">
        <v>76</v>
      </c>
    </row>
    <row r="83" spans="1:2">
      <c r="A83" s="20"/>
      <c r="B83" s="58"/>
    </row>
    <row r="84" spans="1:2">
      <c r="A84" s="20"/>
      <c r="B84" s="58"/>
    </row>
    <row r="85" spans="1:2">
      <c r="A85" s="20"/>
      <c r="B85" s="58"/>
    </row>
    <row r="86" spans="1:2">
      <c r="A86" s="20"/>
      <c r="B86" s="59"/>
    </row>
    <row r="87" spans="1:2">
      <c r="B87" s="57" t="s">
        <v>76</v>
      </c>
    </row>
    <row r="88" spans="1:2">
      <c r="B88" s="58"/>
    </row>
    <row r="89" spans="1:2">
      <c r="A89" s="20"/>
      <c r="B89" s="58"/>
    </row>
    <row r="90" spans="1:2">
      <c r="A90" s="20"/>
      <c r="B90" s="58"/>
    </row>
    <row r="91" spans="1:2">
      <c r="A91" s="20"/>
      <c r="B91" s="59"/>
    </row>
    <row r="92" spans="1:2">
      <c r="A92" s="20"/>
      <c r="B92" s="57" t="s">
        <v>77</v>
      </c>
    </row>
    <row r="93" spans="1:2">
      <c r="B93" s="58"/>
    </row>
    <row r="94" spans="1:2">
      <c r="B94" s="58"/>
    </row>
    <row r="95" spans="1:2">
      <c r="B95" s="58"/>
    </row>
    <row r="96" spans="1:2">
      <c r="B96" s="59"/>
    </row>
    <row r="97" spans="2:2">
      <c r="B97" s="57" t="s">
        <v>77</v>
      </c>
    </row>
    <row r="98" spans="2:2">
      <c r="B98" s="58"/>
    </row>
    <row r="99" spans="2:2">
      <c r="B99" s="58"/>
    </row>
    <row r="100" spans="2:2">
      <c r="B100" s="58"/>
    </row>
    <row r="101" spans="2:2">
      <c r="B101" s="59"/>
    </row>
    <row r="102" spans="2:2">
      <c r="B102" s="57" t="s">
        <v>77</v>
      </c>
    </row>
    <row r="103" spans="2:2">
      <c r="B103" s="58"/>
    </row>
    <row r="104" spans="2:2">
      <c r="B104" s="58"/>
    </row>
    <row r="105" spans="2:2">
      <c r="B105" s="58"/>
    </row>
    <row r="106" spans="2:2">
      <c r="B106" s="59"/>
    </row>
    <row r="107" spans="2:2">
      <c r="B107" s="57" t="s">
        <v>64</v>
      </c>
    </row>
    <row r="108" spans="2:2">
      <c r="B108" s="58"/>
    </row>
    <row r="109" spans="2:2">
      <c r="B109" s="58"/>
    </row>
    <row r="110" spans="2:2">
      <c r="B110" s="58"/>
    </row>
    <row r="111" spans="2:2">
      <c r="B111" s="59"/>
    </row>
    <row r="112" spans="2:2">
      <c r="B112" s="57" t="s">
        <v>64</v>
      </c>
    </row>
    <row r="113" spans="2:2">
      <c r="B113" s="58"/>
    </row>
    <row r="114" spans="2:2">
      <c r="B114" s="58"/>
    </row>
    <row r="115" spans="2:2">
      <c r="B115" s="58"/>
    </row>
    <row r="116" spans="2:2">
      <c r="B116" s="59"/>
    </row>
    <row r="117" spans="2:2">
      <c r="B117" s="57" t="s">
        <v>64</v>
      </c>
    </row>
    <row r="118" spans="2:2">
      <c r="B118" s="58"/>
    </row>
    <row r="119" spans="2:2">
      <c r="B119" s="58"/>
    </row>
    <row r="120" spans="2:2">
      <c r="B120" s="58"/>
    </row>
    <row r="121" spans="2:2">
      <c r="B121" s="59"/>
    </row>
    <row r="122" spans="2:2">
      <c r="B122" s="57" t="s">
        <v>64</v>
      </c>
    </row>
    <row r="123" spans="2:2">
      <c r="B123" s="58"/>
    </row>
    <row r="124" spans="2:2">
      <c r="B124" s="58"/>
    </row>
    <row r="125" spans="2:2">
      <c r="B125" s="58"/>
    </row>
    <row r="126" spans="2:2">
      <c r="B126" s="59"/>
    </row>
    <row r="127" spans="2:2">
      <c r="B127" s="57" t="s">
        <v>76</v>
      </c>
    </row>
    <row r="128" spans="2:2">
      <c r="B128" s="58"/>
    </row>
    <row r="129" spans="2:2">
      <c r="B129" s="58"/>
    </row>
    <row r="130" spans="2:2">
      <c r="B130" s="58"/>
    </row>
    <row r="131" spans="2:2">
      <c r="B131" s="59"/>
    </row>
    <row r="132" spans="2:2">
      <c r="B132" s="57" t="s">
        <v>76</v>
      </c>
    </row>
    <row r="133" spans="2:2">
      <c r="B133" s="58"/>
    </row>
    <row r="134" spans="2:2">
      <c r="B134" s="58"/>
    </row>
    <row r="135" spans="2:2">
      <c r="B135" s="58"/>
    </row>
    <row r="136" spans="2:2">
      <c r="B136" s="59"/>
    </row>
    <row r="137" spans="2:2">
      <c r="B137" s="57" t="s">
        <v>76</v>
      </c>
    </row>
    <row r="138" spans="2:2">
      <c r="B138" s="58"/>
    </row>
    <row r="139" spans="2:2">
      <c r="B139" s="58"/>
    </row>
    <row r="140" spans="2:2">
      <c r="B140" s="58"/>
    </row>
    <row r="141" spans="2:2">
      <c r="B141" s="59"/>
    </row>
    <row r="142" spans="2:2">
      <c r="B142" s="57" t="s">
        <v>76</v>
      </c>
    </row>
    <row r="143" spans="2:2">
      <c r="B143" s="58"/>
    </row>
    <row r="144" spans="2:2">
      <c r="B144" s="58"/>
    </row>
    <row r="145" spans="2:2">
      <c r="B145" s="58"/>
    </row>
    <row r="146" spans="2:2">
      <c r="B146" s="59"/>
    </row>
    <row r="147" spans="2:2">
      <c r="B147" s="57" t="s">
        <v>76</v>
      </c>
    </row>
    <row r="148" spans="2:2">
      <c r="B148" s="58"/>
    </row>
    <row r="149" spans="2:2">
      <c r="B149" s="58"/>
    </row>
    <row r="150" spans="2:2">
      <c r="B150" s="58"/>
    </row>
    <row r="151" spans="2:2">
      <c r="B151" s="59"/>
    </row>
    <row r="152" spans="2:2">
      <c r="B152" s="57" t="s">
        <v>76</v>
      </c>
    </row>
    <row r="153" spans="2:2">
      <c r="B153" s="58"/>
    </row>
    <row r="154" spans="2:2">
      <c r="B154" s="58"/>
    </row>
    <row r="155" spans="2:2">
      <c r="B155" s="58"/>
    </row>
    <row r="156" spans="2:2">
      <c r="B156" s="59"/>
    </row>
    <row r="157" spans="2:2">
      <c r="B157" s="57" t="s">
        <v>77</v>
      </c>
    </row>
    <row r="158" spans="2:2">
      <c r="B158" s="58"/>
    </row>
    <row r="159" spans="2:2">
      <c r="B159" s="58"/>
    </row>
    <row r="160" spans="2:2">
      <c r="B160" s="58"/>
    </row>
    <row r="161" spans="2:2">
      <c r="B161" s="59"/>
    </row>
    <row r="162" spans="2:2">
      <c r="B162" s="57" t="s">
        <v>77</v>
      </c>
    </row>
    <row r="163" spans="2:2">
      <c r="B163" s="58"/>
    </row>
    <row r="164" spans="2:2">
      <c r="B164" s="58"/>
    </row>
    <row r="165" spans="2:2">
      <c r="B165" s="58"/>
    </row>
    <row r="166" spans="2:2">
      <c r="B166" s="59"/>
    </row>
    <row r="167" spans="2:2">
      <c r="B167" s="57" t="s">
        <v>77</v>
      </c>
    </row>
    <row r="168" spans="2:2">
      <c r="B168" s="58"/>
    </row>
    <row r="169" spans="2:2">
      <c r="B169" s="58"/>
    </row>
    <row r="170" spans="2:2">
      <c r="B170" s="58"/>
    </row>
    <row r="171" spans="2:2">
      <c r="B171" s="59"/>
    </row>
    <row r="172" spans="2:2">
      <c r="B172" s="57" t="s">
        <v>64</v>
      </c>
    </row>
    <row r="173" spans="2:2">
      <c r="B173" s="58"/>
    </row>
    <row r="174" spans="2:2">
      <c r="B174" s="58"/>
    </row>
    <row r="175" spans="2:2">
      <c r="B175" s="58"/>
    </row>
    <row r="176" spans="2:2">
      <c r="B176" s="59"/>
    </row>
    <row r="177" spans="2:2">
      <c r="B177" s="57" t="s">
        <v>64</v>
      </c>
    </row>
    <row r="178" spans="2:2">
      <c r="B178" s="58"/>
    </row>
    <row r="179" spans="2:2">
      <c r="B179" s="58"/>
    </row>
    <row r="180" spans="2:2">
      <c r="B180" s="58"/>
    </row>
    <row r="181" spans="2:2">
      <c r="B181" s="59"/>
    </row>
    <row r="182" spans="2:2">
      <c r="B182" s="57" t="s">
        <v>64</v>
      </c>
    </row>
    <row r="183" spans="2:2">
      <c r="B183" s="58"/>
    </row>
    <row r="184" spans="2:2">
      <c r="B184" s="58"/>
    </row>
    <row r="185" spans="2:2">
      <c r="B185" s="58"/>
    </row>
    <row r="186" spans="2:2">
      <c r="B186" s="59"/>
    </row>
    <row r="187" spans="2:2">
      <c r="B187" s="57" t="s">
        <v>64</v>
      </c>
    </row>
    <row r="188" spans="2:2">
      <c r="B188" s="58"/>
    </row>
    <row r="189" spans="2:2">
      <c r="B189" s="58"/>
    </row>
    <row r="190" spans="2:2">
      <c r="B190" s="58"/>
    </row>
    <row r="191" spans="2:2">
      <c r="B191" s="59"/>
    </row>
    <row r="192" spans="2:2">
      <c r="B192" s="57" t="s">
        <v>76</v>
      </c>
    </row>
    <row r="193" spans="2:2">
      <c r="B193" s="58"/>
    </row>
    <row r="194" spans="2:2">
      <c r="B194" s="58"/>
    </row>
    <row r="195" spans="2:2">
      <c r="B195" s="58"/>
    </row>
    <row r="196" spans="2:2">
      <c r="B196" s="59"/>
    </row>
    <row r="197" spans="2:2">
      <c r="B197" s="57" t="s">
        <v>76</v>
      </c>
    </row>
    <row r="198" spans="2:2">
      <c r="B198" s="58"/>
    </row>
    <row r="199" spans="2:2">
      <c r="B199" s="58"/>
    </row>
    <row r="200" spans="2:2">
      <c r="B200" s="58"/>
    </row>
    <row r="201" spans="2:2">
      <c r="B201" s="59"/>
    </row>
    <row r="202" spans="2:2">
      <c r="B202" s="57" t="s">
        <v>76</v>
      </c>
    </row>
    <row r="203" spans="2:2">
      <c r="B203" s="58"/>
    </row>
    <row r="204" spans="2:2">
      <c r="B204" s="58"/>
    </row>
    <row r="205" spans="2:2">
      <c r="B205" s="58"/>
    </row>
    <row r="206" spans="2:2">
      <c r="B206" s="59"/>
    </row>
    <row r="207" spans="2:2">
      <c r="B207" s="57" t="s">
        <v>76</v>
      </c>
    </row>
    <row r="208" spans="2:2">
      <c r="B208" s="58"/>
    </row>
    <row r="209" spans="2:2">
      <c r="B209" s="58"/>
    </row>
    <row r="210" spans="2:2">
      <c r="B210" s="58"/>
    </row>
    <row r="211" spans="2:2">
      <c r="B211" s="59"/>
    </row>
    <row r="212" spans="2:2">
      <c r="B212" s="57" t="s">
        <v>76</v>
      </c>
    </row>
    <row r="213" spans="2:2">
      <c r="B213" s="58"/>
    </row>
    <row r="214" spans="2:2">
      <c r="B214" s="58"/>
    </row>
    <row r="215" spans="2:2">
      <c r="B215" s="58"/>
    </row>
    <row r="216" spans="2:2">
      <c r="B216" s="59"/>
    </row>
    <row r="217" spans="2:2">
      <c r="B217" s="57" t="s">
        <v>76</v>
      </c>
    </row>
    <row r="218" spans="2:2">
      <c r="B218" s="58"/>
    </row>
    <row r="219" spans="2:2">
      <c r="B219" s="58"/>
    </row>
    <row r="220" spans="2:2">
      <c r="B220" s="58"/>
    </row>
    <row r="221" spans="2:2">
      <c r="B221" s="59"/>
    </row>
    <row r="222" spans="2:2">
      <c r="B222" s="57" t="s">
        <v>77</v>
      </c>
    </row>
    <row r="223" spans="2:2">
      <c r="B223" s="58"/>
    </row>
    <row r="224" spans="2:2">
      <c r="B224" s="58"/>
    </row>
    <row r="225" spans="2:2">
      <c r="B225" s="58"/>
    </row>
    <row r="226" spans="2:2">
      <c r="B226" s="59"/>
    </row>
    <row r="227" spans="2:2">
      <c r="B227" s="57" t="s">
        <v>77</v>
      </c>
    </row>
    <row r="228" spans="2:2">
      <c r="B228" s="58"/>
    </row>
    <row r="229" spans="2:2">
      <c r="B229" s="58"/>
    </row>
    <row r="230" spans="2:2">
      <c r="B230" s="58"/>
    </row>
    <row r="231" spans="2:2">
      <c r="B231" s="59"/>
    </row>
    <row r="232" spans="2:2">
      <c r="B232" s="57" t="s">
        <v>77</v>
      </c>
    </row>
    <row r="233" spans="2:2">
      <c r="B233" s="58"/>
    </row>
    <row r="234" spans="2:2">
      <c r="B234" s="58"/>
    </row>
    <row r="235" spans="2:2">
      <c r="B235" s="58"/>
    </row>
    <row r="236" spans="2:2">
      <c r="B236" s="59"/>
    </row>
    <row r="237" spans="2:2">
      <c r="B237" s="57" t="s">
        <v>64</v>
      </c>
    </row>
    <row r="238" spans="2:2">
      <c r="B238" s="58"/>
    </row>
    <row r="239" spans="2:2">
      <c r="B239" s="58"/>
    </row>
    <row r="240" spans="2:2">
      <c r="B240" s="58"/>
    </row>
    <row r="241" spans="2:2">
      <c r="B241" s="59"/>
    </row>
    <row r="242" spans="2:2">
      <c r="B242" s="57" t="s">
        <v>64</v>
      </c>
    </row>
    <row r="243" spans="2:2">
      <c r="B243" s="58"/>
    </row>
    <row r="244" spans="2:2">
      <c r="B244" s="58"/>
    </row>
    <row r="245" spans="2:2">
      <c r="B245" s="58"/>
    </row>
    <row r="246" spans="2:2">
      <c r="B246" s="59"/>
    </row>
    <row r="247" spans="2:2">
      <c r="B247" s="57" t="s">
        <v>76</v>
      </c>
    </row>
    <row r="248" spans="2:2">
      <c r="B248" s="58"/>
    </row>
    <row r="249" spans="2:2">
      <c r="B249" s="58"/>
    </row>
    <row r="250" spans="2:2">
      <c r="B250" s="58"/>
    </row>
    <row r="251" spans="2:2">
      <c r="B251" s="59"/>
    </row>
    <row r="252" spans="2:2">
      <c r="B252" s="57" t="s">
        <v>76</v>
      </c>
    </row>
    <row r="253" spans="2:2">
      <c r="B253" s="58"/>
    </row>
    <row r="254" spans="2:2">
      <c r="B254" s="58"/>
    </row>
    <row r="255" spans="2:2">
      <c r="B255" s="58"/>
    </row>
    <row r="256" spans="2:2">
      <c r="B256" s="59"/>
    </row>
    <row r="257" spans="2:2">
      <c r="B257" s="57" t="s">
        <v>76</v>
      </c>
    </row>
    <row r="258" spans="2:2">
      <c r="B258" s="58"/>
    </row>
    <row r="259" spans="2:2">
      <c r="B259" s="58"/>
    </row>
    <row r="260" spans="2:2">
      <c r="B260" s="58"/>
    </row>
    <row r="261" spans="2:2">
      <c r="B261" s="59"/>
    </row>
    <row r="262" spans="2:2">
      <c r="B262" s="57" t="s">
        <v>76</v>
      </c>
    </row>
    <row r="263" spans="2:2">
      <c r="B263" s="58"/>
    </row>
    <row r="264" spans="2:2">
      <c r="B264" s="58"/>
    </row>
    <row r="265" spans="2:2">
      <c r="B265" s="58"/>
    </row>
    <row r="266" spans="2:2">
      <c r="B266" s="59"/>
    </row>
    <row r="267" spans="2:2">
      <c r="B267" s="57" t="s">
        <v>76</v>
      </c>
    </row>
    <row r="268" spans="2:2">
      <c r="B268" s="58"/>
    </row>
    <row r="269" spans="2:2">
      <c r="B269" s="58"/>
    </row>
    <row r="270" spans="2:2">
      <c r="B270" s="58"/>
    </row>
    <row r="271" spans="2:2">
      <c r="B271" s="59"/>
    </row>
    <row r="272" spans="2:2">
      <c r="B272" s="57" t="s">
        <v>76</v>
      </c>
    </row>
    <row r="273" spans="2:2">
      <c r="B273" s="58"/>
    </row>
    <row r="274" spans="2:2">
      <c r="B274" s="58"/>
    </row>
    <row r="275" spans="2:2">
      <c r="B275" s="58"/>
    </row>
    <row r="276" spans="2:2">
      <c r="B276" s="59"/>
    </row>
    <row r="277" spans="2:2">
      <c r="B277" s="57" t="s">
        <v>76</v>
      </c>
    </row>
    <row r="278" spans="2:2">
      <c r="B278" s="58"/>
    </row>
    <row r="279" spans="2:2">
      <c r="B279" s="58"/>
    </row>
    <row r="280" spans="2:2">
      <c r="B280" s="58"/>
    </row>
    <row r="281" spans="2:2">
      <c r="B281" s="59"/>
    </row>
    <row r="282" spans="2:2">
      <c r="B282" s="57" t="s">
        <v>76</v>
      </c>
    </row>
    <row r="283" spans="2:2">
      <c r="B283" s="58"/>
    </row>
    <row r="284" spans="2:2">
      <c r="B284" s="58"/>
    </row>
    <row r="285" spans="2:2">
      <c r="B285" s="58"/>
    </row>
    <row r="286" spans="2:2">
      <c r="B286" s="59"/>
    </row>
    <row r="287" spans="2:2">
      <c r="B287" s="57" t="s">
        <v>77</v>
      </c>
    </row>
    <row r="288" spans="2:2">
      <c r="B288" s="58"/>
    </row>
    <row r="289" spans="2:2">
      <c r="B289" s="58"/>
    </row>
    <row r="290" spans="2:2">
      <c r="B290" s="58"/>
    </row>
    <row r="291" spans="2:2">
      <c r="B291" s="59"/>
    </row>
    <row r="292" spans="2:2">
      <c r="B292" s="57" t="s">
        <v>64</v>
      </c>
    </row>
    <row r="293" spans="2:2">
      <c r="B293" s="58"/>
    </row>
    <row r="294" spans="2:2">
      <c r="B294" s="58"/>
    </row>
    <row r="295" spans="2:2">
      <c r="B295" s="58"/>
    </row>
    <row r="296" spans="2:2">
      <c r="B296" s="59"/>
    </row>
    <row r="297" spans="2:2">
      <c r="B297" s="57"/>
    </row>
    <row r="298" spans="2:2">
      <c r="B298" s="58"/>
    </row>
    <row r="299" spans="2:2">
      <c r="B299" s="58"/>
    </row>
    <row r="300" spans="2:2">
      <c r="B300" s="58"/>
    </row>
    <row r="301" spans="2:2">
      <c r="B301" s="59"/>
    </row>
    <row r="302" spans="2:2">
      <c r="B302" s="57"/>
    </row>
    <row r="303" spans="2:2">
      <c r="B303" s="58"/>
    </row>
    <row r="304" spans="2:2">
      <c r="B304" s="58"/>
    </row>
    <row r="305" spans="2:2">
      <c r="B305" s="58"/>
    </row>
    <row r="306" spans="2:2">
      <c r="B306" s="59"/>
    </row>
    <row r="307" spans="2:2">
      <c r="B307" s="57"/>
    </row>
    <row r="308" spans="2:2">
      <c r="B308" s="58"/>
    </row>
    <row r="309" spans="2:2">
      <c r="B309" s="58"/>
    </row>
    <row r="310" spans="2:2">
      <c r="B310" s="58"/>
    </row>
    <row r="311" spans="2:2">
      <c r="B311" s="59"/>
    </row>
    <row r="312" spans="2:2">
      <c r="B312" s="57"/>
    </row>
    <row r="313" spans="2:2">
      <c r="B313" s="58"/>
    </row>
    <row r="314" spans="2:2">
      <c r="B314" s="58"/>
    </row>
    <row r="315" spans="2:2">
      <c r="B315" s="58"/>
    </row>
    <row r="316" spans="2:2">
      <c r="B316" s="59"/>
    </row>
    <row r="317" spans="2:2">
      <c r="B317" s="57"/>
    </row>
    <row r="318" spans="2:2">
      <c r="B318" s="58"/>
    </row>
    <row r="319" spans="2:2">
      <c r="B319" s="58"/>
    </row>
    <row r="320" spans="2:2">
      <c r="B320" s="58"/>
    </row>
    <row r="321" spans="2:2">
      <c r="B321" s="59"/>
    </row>
    <row r="322" spans="2:2">
      <c r="B322" s="57"/>
    </row>
    <row r="323" spans="2:2">
      <c r="B323" s="58"/>
    </row>
    <row r="324" spans="2:2">
      <c r="B324" s="58"/>
    </row>
    <row r="325" spans="2:2">
      <c r="B325" s="58"/>
    </row>
    <row r="326" spans="2:2">
      <c r="B326" s="59"/>
    </row>
    <row r="327" spans="2:2">
      <c r="B327" s="57"/>
    </row>
    <row r="328" spans="2:2">
      <c r="B328" s="58"/>
    </row>
    <row r="329" spans="2:2">
      <c r="B329" s="58"/>
    </row>
    <row r="330" spans="2:2">
      <c r="B330" s="58"/>
    </row>
    <row r="331" spans="2:2">
      <c r="B331" s="59"/>
    </row>
    <row r="332" spans="2:2">
      <c r="B332" s="57"/>
    </row>
    <row r="333" spans="2:2">
      <c r="B333" s="58"/>
    </row>
    <row r="334" spans="2:2">
      <c r="B334" s="58"/>
    </row>
    <row r="335" spans="2:2">
      <c r="B335" s="58"/>
    </row>
    <row r="336" spans="2:2">
      <c r="B336" s="59"/>
    </row>
    <row r="337" spans="2:2">
      <c r="B337" s="57"/>
    </row>
    <row r="338" spans="2:2">
      <c r="B338" s="58"/>
    </row>
    <row r="339" spans="2:2">
      <c r="B339" s="58"/>
    </row>
    <row r="340" spans="2:2">
      <c r="B340" s="58"/>
    </row>
    <row r="341" spans="2:2">
      <c r="B341" s="59"/>
    </row>
    <row r="342" spans="2:2">
      <c r="B342" s="57"/>
    </row>
    <row r="343" spans="2:2">
      <c r="B343" s="58"/>
    </row>
    <row r="344" spans="2:2">
      <c r="B344" s="58"/>
    </row>
    <row r="345" spans="2:2">
      <c r="B345" s="58"/>
    </row>
    <row r="346" spans="2:2">
      <c r="B346" s="59"/>
    </row>
    <row r="347" spans="2:2">
      <c r="B347" s="57" t="s">
        <v>533</v>
      </c>
    </row>
    <row r="348" spans="2:2">
      <c r="B348" s="58"/>
    </row>
    <row r="349" spans="2:2">
      <c r="B349" s="58"/>
    </row>
    <row r="350" spans="2:2">
      <c r="B350" s="58"/>
    </row>
    <row r="351" spans="2:2">
      <c r="B351" s="59"/>
    </row>
  </sheetData>
  <mergeCells count="65">
    <mergeCell ref="B327:B331"/>
    <mergeCell ref="B332:B336"/>
    <mergeCell ref="B337:B341"/>
    <mergeCell ref="B342:B346"/>
    <mergeCell ref="B347:B351"/>
    <mergeCell ref="B302:B306"/>
    <mergeCell ref="B307:B311"/>
    <mergeCell ref="B312:B316"/>
    <mergeCell ref="B317:B321"/>
    <mergeCell ref="B322:B326"/>
    <mergeCell ref="B277:B281"/>
    <mergeCell ref="B282:B286"/>
    <mergeCell ref="B287:B291"/>
    <mergeCell ref="B292:B296"/>
    <mergeCell ref="B297:B301"/>
    <mergeCell ref="B252:B256"/>
    <mergeCell ref="B257:B261"/>
    <mergeCell ref="B262:B266"/>
    <mergeCell ref="B267:B271"/>
    <mergeCell ref="B272:B276"/>
    <mergeCell ref="B227:B231"/>
    <mergeCell ref="B232:B236"/>
    <mergeCell ref="B237:B241"/>
    <mergeCell ref="B242:B246"/>
    <mergeCell ref="B247:B251"/>
    <mergeCell ref="B202:B206"/>
    <mergeCell ref="B207:B211"/>
    <mergeCell ref="B212:B216"/>
    <mergeCell ref="B217:B221"/>
    <mergeCell ref="B222:B226"/>
    <mergeCell ref="B177:B181"/>
    <mergeCell ref="B182:B186"/>
    <mergeCell ref="B187:B191"/>
    <mergeCell ref="B192:B196"/>
    <mergeCell ref="B197:B201"/>
    <mergeCell ref="B152:B156"/>
    <mergeCell ref="B157:B161"/>
    <mergeCell ref="B162:B166"/>
    <mergeCell ref="B167:B171"/>
    <mergeCell ref="B172:B176"/>
    <mergeCell ref="B127:B131"/>
    <mergeCell ref="B132:B136"/>
    <mergeCell ref="B137:B141"/>
    <mergeCell ref="B142:B146"/>
    <mergeCell ref="B147:B151"/>
    <mergeCell ref="B102:B106"/>
    <mergeCell ref="B107:B111"/>
    <mergeCell ref="B112:B116"/>
    <mergeCell ref="B117:B121"/>
    <mergeCell ref="B122:B126"/>
    <mergeCell ref="B77:B81"/>
    <mergeCell ref="B82:B86"/>
    <mergeCell ref="B87:B91"/>
    <mergeCell ref="B92:B96"/>
    <mergeCell ref="B97:B101"/>
    <mergeCell ref="B52:B56"/>
    <mergeCell ref="B57:B61"/>
    <mergeCell ref="B62:B66"/>
    <mergeCell ref="B67:B71"/>
    <mergeCell ref="B72:B76"/>
    <mergeCell ref="F30:I30"/>
    <mergeCell ref="J30:K30"/>
    <mergeCell ref="L30:N30"/>
    <mergeCell ref="B42:B46"/>
    <mergeCell ref="B47:B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C1E7-50D1-43EB-BDDC-EFB9F6F58152}">
  <dimension ref="A1:T267"/>
  <sheetViews>
    <sheetView topLeftCell="G1" zoomScale="70" zoomScaleNormal="70" workbookViewId="0">
      <selection activeCell="M2" sqref="M2"/>
    </sheetView>
  </sheetViews>
  <sheetFormatPr defaultColWidth="11.19921875" defaultRowHeight="15.6"/>
  <cols>
    <col min="3" max="3" width="14.796875" customWidth="1"/>
    <col min="4" max="5" width="20.09765625" customWidth="1"/>
    <col min="6" max="6" width="26" customWidth="1"/>
    <col min="7" max="7" width="18.59765625" customWidth="1"/>
    <col min="8" max="8" width="12.3984375" bestFit="1" customWidth="1"/>
    <col min="9" max="9" width="20.59765625" bestFit="1" customWidth="1"/>
    <col min="10" max="10" width="20.59765625" customWidth="1"/>
    <col min="11" max="11" width="20.59765625" bestFit="1" customWidth="1"/>
    <col min="12" max="12" width="24.19921875" customWidth="1"/>
    <col min="13" max="14" width="29.3984375" customWidth="1"/>
    <col min="15" max="15" width="22.5" customWidth="1"/>
    <col min="16" max="16" width="22.3984375" customWidth="1"/>
    <col min="17" max="17" width="13.19921875" customWidth="1"/>
  </cols>
  <sheetData>
    <row r="1" spans="1:19" ht="54.6" customHeight="1">
      <c r="G1" s="28"/>
      <c r="H1" s="35"/>
      <c r="I1" s="37"/>
      <c r="J1" s="37"/>
      <c r="K1" s="37"/>
      <c r="L1" s="37"/>
      <c r="M1" s="27"/>
      <c r="N1" s="27"/>
      <c r="O1" s="27"/>
      <c r="P1" s="27"/>
      <c r="Q1" s="27"/>
      <c r="R1" s="27"/>
      <c r="S1" s="27"/>
    </row>
    <row r="2" spans="1:19" ht="91.8" customHeight="1">
      <c r="A2" s="2" t="s">
        <v>6</v>
      </c>
      <c r="B2" s="2" t="s">
        <v>13</v>
      </c>
      <c r="C2" s="6" t="s">
        <v>571</v>
      </c>
      <c r="D2" s="2" t="s">
        <v>570</v>
      </c>
      <c r="E2" s="4" t="s">
        <v>573</v>
      </c>
      <c r="F2" s="2" t="s">
        <v>572</v>
      </c>
      <c r="G2" s="4" t="s">
        <v>7</v>
      </c>
      <c r="H2" s="4" t="s">
        <v>127</v>
      </c>
      <c r="I2" s="43" t="s">
        <v>17</v>
      </c>
      <c r="J2" s="44" t="s">
        <v>18</v>
      </c>
      <c r="K2" s="43" t="s">
        <v>19</v>
      </c>
      <c r="L2" s="45" t="s">
        <v>8</v>
      </c>
      <c r="M2" s="8" t="s">
        <v>84</v>
      </c>
      <c r="N2" s="8" t="s">
        <v>193</v>
      </c>
      <c r="O2" s="8" t="s">
        <v>4</v>
      </c>
      <c r="P2" s="8" t="s">
        <v>5</v>
      </c>
      <c r="Q2" s="8" t="s">
        <v>12</v>
      </c>
      <c r="R2" s="8" t="s">
        <v>20</v>
      </c>
      <c r="S2" s="8" t="s">
        <v>21</v>
      </c>
    </row>
    <row r="3" spans="1:19">
      <c r="A3" s="72">
        <v>1</v>
      </c>
      <c r="B3" s="72" t="s">
        <v>14</v>
      </c>
      <c r="C3" s="75" t="s">
        <v>10</v>
      </c>
      <c r="D3" s="60" t="s">
        <v>35</v>
      </c>
      <c r="E3" s="60" t="s">
        <v>575</v>
      </c>
      <c r="F3" s="60" t="s">
        <v>63</v>
      </c>
      <c r="G3" s="25" t="s">
        <v>65</v>
      </c>
      <c r="H3" s="33">
        <v>0.16919999999999999</v>
      </c>
      <c r="I3" s="25">
        <v>1</v>
      </c>
      <c r="J3" s="25">
        <v>1</v>
      </c>
      <c r="K3" s="25">
        <v>1</v>
      </c>
      <c r="L3" s="78">
        <v>1</v>
      </c>
      <c r="M3" s="64">
        <v>3</v>
      </c>
      <c r="N3" s="72">
        <v>3</v>
      </c>
      <c r="O3" s="64">
        <v>3</v>
      </c>
      <c r="P3" s="64">
        <v>2</v>
      </c>
      <c r="Q3" s="64">
        <v>19.896999999999998</v>
      </c>
      <c r="R3" s="64">
        <v>2.125</v>
      </c>
      <c r="S3" s="64">
        <v>0</v>
      </c>
    </row>
    <row r="4" spans="1:19">
      <c r="A4" s="73"/>
      <c r="B4" s="73"/>
      <c r="C4" s="76"/>
      <c r="D4" s="61"/>
      <c r="E4" s="61"/>
      <c r="F4" s="61"/>
      <c r="G4" s="25" t="s">
        <v>66</v>
      </c>
      <c r="H4" s="33">
        <v>0.18099999999999999</v>
      </c>
      <c r="I4" s="25">
        <v>1</v>
      </c>
      <c r="J4" s="25">
        <v>1</v>
      </c>
      <c r="K4" s="25">
        <v>1</v>
      </c>
      <c r="L4" s="78"/>
      <c r="M4" s="64"/>
      <c r="N4" s="73"/>
      <c r="O4" s="64"/>
      <c r="P4" s="64"/>
      <c r="Q4" s="64"/>
      <c r="R4" s="64"/>
      <c r="S4" s="64"/>
    </row>
    <row r="5" spans="1:19">
      <c r="A5" s="73"/>
      <c r="B5" s="73"/>
      <c r="C5" s="76"/>
      <c r="D5" s="61"/>
      <c r="E5" s="61"/>
      <c r="F5" s="61"/>
      <c r="G5" s="25" t="s">
        <v>67</v>
      </c>
      <c r="H5" s="33">
        <v>0.21659999999999999</v>
      </c>
      <c r="I5" s="25">
        <v>1</v>
      </c>
      <c r="J5" s="25">
        <v>1</v>
      </c>
      <c r="K5" s="25">
        <v>1</v>
      </c>
      <c r="L5" s="78"/>
      <c r="M5" s="64"/>
      <c r="N5" s="73"/>
      <c r="O5" s="64"/>
      <c r="P5" s="64"/>
      <c r="Q5" s="64"/>
      <c r="R5" s="64"/>
      <c r="S5" s="64"/>
    </row>
    <row r="6" spans="1:19">
      <c r="A6" s="73"/>
      <c r="B6" s="73"/>
      <c r="C6" s="76"/>
      <c r="D6" s="61"/>
      <c r="E6" s="61"/>
      <c r="F6" s="61"/>
      <c r="G6" s="25" t="s">
        <v>68</v>
      </c>
      <c r="H6" s="33">
        <v>0.21709999999999999</v>
      </c>
      <c r="I6" s="25">
        <v>1</v>
      </c>
      <c r="J6" s="25">
        <v>1</v>
      </c>
      <c r="K6" s="25">
        <v>1</v>
      </c>
      <c r="L6" s="78"/>
      <c r="M6" s="64"/>
      <c r="N6" s="73"/>
      <c r="O6" s="64"/>
      <c r="P6" s="64"/>
      <c r="Q6" s="64"/>
      <c r="R6" s="64"/>
      <c r="S6" s="64"/>
    </row>
    <row r="7" spans="1:19">
      <c r="A7" s="74"/>
      <c r="B7" s="74"/>
      <c r="C7" s="77"/>
      <c r="D7" s="62"/>
      <c r="E7" s="62"/>
      <c r="F7" s="62"/>
      <c r="G7" s="25" t="s">
        <v>69</v>
      </c>
      <c r="H7" s="33">
        <v>0.24160000000000001</v>
      </c>
      <c r="I7" s="25">
        <v>1</v>
      </c>
      <c r="J7" s="25">
        <v>1</v>
      </c>
      <c r="K7" s="25">
        <v>1</v>
      </c>
      <c r="L7" s="78"/>
      <c r="M7" s="64"/>
      <c r="N7" s="74"/>
      <c r="O7" s="64"/>
      <c r="P7" s="64"/>
      <c r="Q7" s="64"/>
      <c r="R7" s="64"/>
      <c r="S7" s="64"/>
    </row>
    <row r="8" spans="1:19">
      <c r="A8" s="69">
        <v>2</v>
      </c>
      <c r="B8" s="69" t="s">
        <v>14</v>
      </c>
      <c r="C8" s="65" t="s">
        <v>10</v>
      </c>
      <c r="D8" s="57" t="s">
        <v>36</v>
      </c>
      <c r="E8" s="57" t="s">
        <v>574</v>
      </c>
      <c r="F8" s="57" t="s">
        <v>75</v>
      </c>
      <c r="G8" s="26" t="s">
        <v>70</v>
      </c>
      <c r="H8" s="34">
        <v>0.34810000000000002</v>
      </c>
      <c r="I8" s="26">
        <v>0</v>
      </c>
      <c r="J8" s="26">
        <v>1</v>
      </c>
      <c r="K8" s="26">
        <v>1</v>
      </c>
      <c r="L8" s="68">
        <v>0.6</v>
      </c>
      <c r="M8" s="63">
        <v>3</v>
      </c>
      <c r="N8" s="69">
        <v>3</v>
      </c>
      <c r="O8" s="63">
        <v>3</v>
      </c>
      <c r="P8" s="63">
        <v>2</v>
      </c>
      <c r="Q8" s="63">
        <v>18.399999999999999</v>
      </c>
      <c r="R8" s="63">
        <v>1.1180000000000001</v>
      </c>
      <c r="S8" s="63">
        <v>0</v>
      </c>
    </row>
    <row r="9" spans="1:19">
      <c r="A9" s="70"/>
      <c r="B9" s="70"/>
      <c r="C9" s="66"/>
      <c r="D9" s="58"/>
      <c r="E9" s="58"/>
      <c r="F9" s="58"/>
      <c r="G9" s="26" t="s">
        <v>71</v>
      </c>
      <c r="H9" s="34">
        <v>0.36930000000000002</v>
      </c>
      <c r="I9" s="26">
        <v>0</v>
      </c>
      <c r="J9" s="26">
        <v>1</v>
      </c>
      <c r="K9" s="26">
        <v>1</v>
      </c>
      <c r="L9" s="68"/>
      <c r="M9" s="63"/>
      <c r="N9" s="70"/>
      <c r="O9" s="63"/>
      <c r="P9" s="63"/>
      <c r="Q9" s="63"/>
      <c r="R9" s="63"/>
      <c r="S9" s="63"/>
    </row>
    <row r="10" spans="1:19">
      <c r="A10" s="70"/>
      <c r="B10" s="70"/>
      <c r="C10" s="66"/>
      <c r="D10" s="58"/>
      <c r="E10" s="58"/>
      <c r="F10" s="58"/>
      <c r="G10" s="26" t="s">
        <v>72</v>
      </c>
      <c r="H10" s="34">
        <v>0.4002</v>
      </c>
      <c r="I10" s="26">
        <v>0</v>
      </c>
      <c r="J10" s="31">
        <v>1</v>
      </c>
      <c r="K10" s="26">
        <v>1</v>
      </c>
      <c r="L10" s="68"/>
      <c r="M10" s="63"/>
      <c r="N10" s="70"/>
      <c r="O10" s="63"/>
      <c r="P10" s="63"/>
      <c r="Q10" s="63"/>
      <c r="R10" s="63"/>
      <c r="S10" s="63"/>
    </row>
    <row r="11" spans="1:19">
      <c r="A11" s="70"/>
      <c r="B11" s="70"/>
      <c r="C11" s="66"/>
      <c r="D11" s="58"/>
      <c r="E11" s="58"/>
      <c r="F11" s="58"/>
      <c r="G11" s="26" t="s">
        <v>73</v>
      </c>
      <c r="H11" s="34">
        <v>0.40600000000000003</v>
      </c>
      <c r="I11" s="26">
        <v>0</v>
      </c>
      <c r="J11" s="26">
        <v>0</v>
      </c>
      <c r="K11" s="26">
        <v>1</v>
      </c>
      <c r="L11" s="68"/>
      <c r="M11" s="63"/>
      <c r="N11" s="70"/>
      <c r="O11" s="63"/>
      <c r="P11" s="63"/>
      <c r="Q11" s="63"/>
      <c r="R11" s="63"/>
      <c r="S11" s="63"/>
    </row>
    <row r="12" spans="1:19">
      <c r="A12" s="71"/>
      <c r="B12" s="71"/>
      <c r="C12" s="67"/>
      <c r="D12" s="59"/>
      <c r="E12" s="59"/>
      <c r="F12" s="59"/>
      <c r="G12" s="26" t="s">
        <v>74</v>
      </c>
      <c r="H12" s="34">
        <v>0.41410000000000002</v>
      </c>
      <c r="I12" s="26">
        <v>0</v>
      </c>
      <c r="J12" s="26">
        <v>0</v>
      </c>
      <c r="K12" s="26">
        <v>1</v>
      </c>
      <c r="L12" s="68"/>
      <c r="M12" s="63"/>
      <c r="N12" s="71"/>
      <c r="O12" s="63"/>
      <c r="P12" s="63"/>
      <c r="Q12" s="63"/>
      <c r="R12" s="63"/>
      <c r="S12" s="63"/>
    </row>
    <row r="13" spans="1:19">
      <c r="A13" s="72">
        <v>3</v>
      </c>
      <c r="B13" s="72" t="s">
        <v>14</v>
      </c>
      <c r="C13" s="75" t="s">
        <v>10</v>
      </c>
      <c r="D13" s="60" t="s">
        <v>37</v>
      </c>
      <c r="E13" s="51"/>
      <c r="F13" s="60" t="s">
        <v>78</v>
      </c>
      <c r="G13" s="25" t="s">
        <v>79</v>
      </c>
      <c r="H13" s="33">
        <v>0.3876</v>
      </c>
      <c r="I13" s="25">
        <v>0</v>
      </c>
      <c r="J13" s="25">
        <v>1</v>
      </c>
      <c r="K13" s="25">
        <v>1</v>
      </c>
      <c r="L13" s="78">
        <v>0.2</v>
      </c>
      <c r="M13" s="64">
        <v>3</v>
      </c>
      <c r="N13" s="72">
        <v>2</v>
      </c>
      <c r="O13" s="64">
        <v>3</v>
      </c>
      <c r="P13" s="64">
        <v>2</v>
      </c>
      <c r="Q13" s="64">
        <v>34.130000000000003</v>
      </c>
      <c r="R13" s="64">
        <v>1.23</v>
      </c>
      <c r="S13" s="64">
        <v>0</v>
      </c>
    </row>
    <row r="14" spans="1:19">
      <c r="A14" s="73"/>
      <c r="B14" s="73"/>
      <c r="C14" s="76"/>
      <c r="D14" s="61"/>
      <c r="E14" s="52"/>
      <c r="F14" s="61"/>
      <c r="G14" s="25" t="s">
        <v>80</v>
      </c>
      <c r="H14" s="33">
        <v>0.43909999999999999</v>
      </c>
      <c r="I14" s="25">
        <v>0</v>
      </c>
      <c r="J14" s="25">
        <v>0</v>
      </c>
      <c r="K14" s="25">
        <v>1</v>
      </c>
      <c r="L14" s="78"/>
      <c r="M14" s="64"/>
      <c r="N14" s="73"/>
      <c r="O14" s="64"/>
      <c r="P14" s="64"/>
      <c r="Q14" s="64"/>
      <c r="R14" s="64"/>
      <c r="S14" s="64"/>
    </row>
    <row r="15" spans="1:19">
      <c r="A15" s="73"/>
      <c r="B15" s="73"/>
      <c r="C15" s="76"/>
      <c r="D15" s="61"/>
      <c r="E15" s="52"/>
      <c r="F15" s="61"/>
      <c r="G15" s="25" t="s">
        <v>81</v>
      </c>
      <c r="H15" s="33">
        <v>0.4582</v>
      </c>
      <c r="I15" s="25">
        <v>0</v>
      </c>
      <c r="J15" s="25">
        <v>0</v>
      </c>
      <c r="K15" s="25">
        <v>1</v>
      </c>
      <c r="L15" s="78"/>
      <c r="M15" s="64"/>
      <c r="N15" s="73"/>
      <c r="O15" s="64"/>
      <c r="P15" s="64"/>
      <c r="Q15" s="64"/>
      <c r="R15" s="64"/>
      <c r="S15" s="64"/>
    </row>
    <row r="16" spans="1:19">
      <c r="A16" s="73"/>
      <c r="B16" s="73"/>
      <c r="C16" s="76"/>
      <c r="D16" s="61"/>
      <c r="E16" s="52"/>
      <c r="F16" s="61"/>
      <c r="G16" s="25" t="s">
        <v>82</v>
      </c>
      <c r="H16" s="33">
        <v>0.45889999999999997</v>
      </c>
      <c r="I16" s="25">
        <v>0</v>
      </c>
      <c r="J16" s="25">
        <v>0</v>
      </c>
      <c r="K16" s="25">
        <v>1</v>
      </c>
      <c r="L16" s="78"/>
      <c r="M16" s="64"/>
      <c r="N16" s="73"/>
      <c r="O16" s="64"/>
      <c r="P16" s="64"/>
      <c r="Q16" s="64"/>
      <c r="R16" s="64"/>
      <c r="S16" s="64"/>
    </row>
    <row r="17" spans="1:19">
      <c r="A17" s="74"/>
      <c r="B17" s="74"/>
      <c r="C17" s="77"/>
      <c r="D17" s="62"/>
      <c r="E17" s="53"/>
      <c r="F17" s="62"/>
      <c r="G17" s="25" t="s">
        <v>83</v>
      </c>
      <c r="H17" s="33">
        <v>0.48480000000000001</v>
      </c>
      <c r="I17" s="25">
        <v>0</v>
      </c>
      <c r="J17" s="25">
        <v>0</v>
      </c>
      <c r="K17" s="25">
        <v>1</v>
      </c>
      <c r="L17" s="78"/>
      <c r="M17" s="64"/>
      <c r="N17" s="74"/>
      <c r="O17" s="64"/>
      <c r="P17" s="64"/>
      <c r="Q17" s="64"/>
      <c r="R17" s="64"/>
      <c r="S17" s="64"/>
    </row>
    <row r="18" spans="1:19">
      <c r="A18" s="69">
        <v>4</v>
      </c>
      <c r="B18" s="69" t="s">
        <v>14</v>
      </c>
      <c r="C18" s="65" t="s">
        <v>10</v>
      </c>
      <c r="D18" s="57" t="s">
        <v>386</v>
      </c>
      <c r="E18" s="48"/>
      <c r="F18" s="57" t="s">
        <v>89</v>
      </c>
      <c r="G18" s="26" t="s">
        <v>90</v>
      </c>
      <c r="H18" s="34">
        <v>0.34010000000000001</v>
      </c>
      <c r="I18" s="26">
        <v>0</v>
      </c>
      <c r="J18" s="26">
        <v>1</v>
      </c>
      <c r="K18" s="26">
        <v>1</v>
      </c>
      <c r="L18" s="68">
        <v>1</v>
      </c>
      <c r="M18" s="63">
        <v>3</v>
      </c>
      <c r="N18" s="69">
        <v>2</v>
      </c>
      <c r="O18" s="63">
        <v>3</v>
      </c>
      <c r="P18" s="63">
        <v>2</v>
      </c>
      <c r="Q18" s="63">
        <v>21.18</v>
      </c>
      <c r="R18" s="63">
        <v>1.5</v>
      </c>
      <c r="S18" s="63">
        <v>0</v>
      </c>
    </row>
    <row r="19" spans="1:19">
      <c r="A19" s="70"/>
      <c r="B19" s="70"/>
      <c r="C19" s="66"/>
      <c r="D19" s="58"/>
      <c r="E19" s="49"/>
      <c r="F19" s="58"/>
      <c r="G19" s="26" t="s">
        <v>91</v>
      </c>
      <c r="H19" s="34">
        <v>0.34189999999999998</v>
      </c>
      <c r="I19" s="26">
        <v>0</v>
      </c>
      <c r="J19" s="26">
        <v>1</v>
      </c>
      <c r="K19" s="26">
        <v>1</v>
      </c>
      <c r="L19" s="68"/>
      <c r="M19" s="63"/>
      <c r="N19" s="70"/>
      <c r="O19" s="63"/>
      <c r="P19" s="63"/>
      <c r="Q19" s="63"/>
      <c r="R19" s="63"/>
      <c r="S19" s="63"/>
    </row>
    <row r="20" spans="1:19">
      <c r="A20" s="70"/>
      <c r="B20" s="70"/>
      <c r="C20" s="66"/>
      <c r="D20" s="58"/>
      <c r="E20" s="49"/>
      <c r="F20" s="58"/>
      <c r="G20" s="26" t="s">
        <v>94</v>
      </c>
      <c r="H20" s="34">
        <v>0.34189999999999998</v>
      </c>
      <c r="I20" s="26">
        <v>0</v>
      </c>
      <c r="J20" s="26">
        <v>1</v>
      </c>
      <c r="K20" s="26">
        <v>1</v>
      </c>
      <c r="L20" s="68"/>
      <c r="M20" s="63"/>
      <c r="N20" s="70"/>
      <c r="O20" s="63"/>
      <c r="P20" s="63"/>
      <c r="Q20" s="63"/>
      <c r="R20" s="63"/>
      <c r="S20" s="63"/>
    </row>
    <row r="21" spans="1:19">
      <c r="A21" s="70"/>
      <c r="B21" s="70"/>
      <c r="C21" s="66"/>
      <c r="D21" s="58"/>
      <c r="E21" s="49"/>
      <c r="F21" s="58"/>
      <c r="G21" s="26" t="s">
        <v>92</v>
      </c>
      <c r="H21" s="34">
        <v>0.37280000000000002</v>
      </c>
      <c r="I21" s="26">
        <v>0</v>
      </c>
      <c r="J21" s="26">
        <v>1</v>
      </c>
      <c r="K21" s="26">
        <v>1</v>
      </c>
      <c r="L21" s="68"/>
      <c r="M21" s="63"/>
      <c r="N21" s="70"/>
      <c r="O21" s="63"/>
      <c r="P21" s="63"/>
      <c r="Q21" s="63"/>
      <c r="R21" s="63"/>
      <c r="S21" s="63"/>
    </row>
    <row r="22" spans="1:19">
      <c r="A22" s="71"/>
      <c r="B22" s="71"/>
      <c r="C22" s="67"/>
      <c r="D22" s="59"/>
      <c r="E22" s="50"/>
      <c r="F22" s="59"/>
      <c r="G22" s="26" t="s">
        <v>93</v>
      </c>
      <c r="H22" s="34">
        <v>0.3765</v>
      </c>
      <c r="I22" s="26">
        <v>0</v>
      </c>
      <c r="J22" s="26">
        <v>1</v>
      </c>
      <c r="K22" s="26">
        <v>1</v>
      </c>
      <c r="L22" s="68"/>
      <c r="M22" s="63"/>
      <c r="N22" s="71"/>
      <c r="O22" s="63"/>
      <c r="P22" s="63"/>
      <c r="Q22" s="63"/>
      <c r="R22" s="63"/>
      <c r="S22" s="63"/>
    </row>
    <row r="23" spans="1:19">
      <c r="A23" s="72">
        <v>5</v>
      </c>
      <c r="B23" s="72" t="s">
        <v>14</v>
      </c>
      <c r="C23" s="75" t="s">
        <v>10</v>
      </c>
      <c r="D23" s="60" t="s">
        <v>41</v>
      </c>
      <c r="E23" s="51"/>
      <c r="F23" s="60" t="s">
        <v>95</v>
      </c>
      <c r="G23" s="25" t="s">
        <v>96</v>
      </c>
      <c r="H23" s="33">
        <v>0.33760000000000001</v>
      </c>
      <c r="I23" s="25">
        <v>0</v>
      </c>
      <c r="J23" s="25">
        <v>1</v>
      </c>
      <c r="K23" s="25">
        <v>1</v>
      </c>
      <c r="L23" s="78">
        <v>0.4</v>
      </c>
      <c r="M23" s="64">
        <v>3</v>
      </c>
      <c r="N23" s="72">
        <v>2</v>
      </c>
      <c r="O23" s="64">
        <v>3</v>
      </c>
      <c r="P23" s="64">
        <v>2</v>
      </c>
      <c r="Q23" s="64">
        <v>23.68</v>
      </c>
      <c r="R23" s="64">
        <v>0.44280000000000003</v>
      </c>
      <c r="S23" s="64">
        <v>0</v>
      </c>
    </row>
    <row r="24" spans="1:19">
      <c r="A24" s="73"/>
      <c r="B24" s="73"/>
      <c r="C24" s="76"/>
      <c r="D24" s="61"/>
      <c r="E24" s="52"/>
      <c r="F24" s="61"/>
      <c r="G24" s="25" t="s">
        <v>97</v>
      </c>
      <c r="H24" s="33">
        <v>0.34610000000000002</v>
      </c>
      <c r="I24" s="25">
        <v>0</v>
      </c>
      <c r="J24" s="25">
        <v>1</v>
      </c>
      <c r="K24" s="25">
        <v>1</v>
      </c>
      <c r="L24" s="78"/>
      <c r="M24" s="64"/>
      <c r="N24" s="73"/>
      <c r="O24" s="64"/>
      <c r="P24" s="64"/>
      <c r="Q24" s="64"/>
      <c r="R24" s="64"/>
      <c r="S24" s="64"/>
    </row>
    <row r="25" spans="1:19">
      <c r="A25" s="73"/>
      <c r="B25" s="73"/>
      <c r="C25" s="76"/>
      <c r="D25" s="61"/>
      <c r="E25" s="52"/>
      <c r="F25" s="61"/>
      <c r="G25" s="25" t="s">
        <v>98</v>
      </c>
      <c r="H25" s="33">
        <v>0.42859999999999998</v>
      </c>
      <c r="I25" s="25">
        <v>0</v>
      </c>
      <c r="J25" s="25">
        <v>0</v>
      </c>
      <c r="K25" s="25">
        <v>1</v>
      </c>
      <c r="L25" s="78"/>
      <c r="M25" s="64"/>
      <c r="N25" s="73"/>
      <c r="O25" s="64"/>
      <c r="P25" s="64"/>
      <c r="Q25" s="64"/>
      <c r="R25" s="64"/>
      <c r="S25" s="64"/>
    </row>
    <row r="26" spans="1:19">
      <c r="A26" s="73"/>
      <c r="B26" s="73"/>
      <c r="C26" s="76"/>
      <c r="D26" s="61"/>
      <c r="E26" s="52"/>
      <c r="F26" s="61"/>
      <c r="G26" s="25" t="s">
        <v>99</v>
      </c>
      <c r="H26" s="33">
        <v>0.43130000000000002</v>
      </c>
      <c r="I26" s="25">
        <v>0</v>
      </c>
      <c r="J26" s="25">
        <v>0</v>
      </c>
      <c r="K26" s="25">
        <v>1</v>
      </c>
      <c r="L26" s="78"/>
      <c r="M26" s="64"/>
      <c r="N26" s="73"/>
      <c r="O26" s="64"/>
      <c r="P26" s="64"/>
      <c r="Q26" s="64"/>
      <c r="R26" s="64"/>
      <c r="S26" s="64"/>
    </row>
    <row r="27" spans="1:19">
      <c r="A27" s="74"/>
      <c r="B27" s="74"/>
      <c r="C27" s="77"/>
      <c r="D27" s="62"/>
      <c r="E27" s="53"/>
      <c r="F27" s="62"/>
      <c r="G27" s="25" t="s">
        <v>100</v>
      </c>
      <c r="H27" s="33">
        <v>0.434</v>
      </c>
      <c r="I27" s="25">
        <v>0</v>
      </c>
      <c r="J27" s="25">
        <v>0</v>
      </c>
      <c r="K27" s="25">
        <v>1</v>
      </c>
      <c r="L27" s="78"/>
      <c r="M27" s="64"/>
      <c r="N27" s="74"/>
      <c r="O27" s="64"/>
      <c r="P27" s="64"/>
      <c r="Q27" s="64"/>
      <c r="R27" s="64"/>
      <c r="S27" s="64"/>
    </row>
    <row r="28" spans="1:19">
      <c r="A28" s="69">
        <v>6</v>
      </c>
      <c r="B28" s="69" t="s">
        <v>14</v>
      </c>
      <c r="C28" s="65" t="s">
        <v>10</v>
      </c>
      <c r="D28" s="57" t="s">
        <v>40</v>
      </c>
      <c r="E28" s="48"/>
      <c r="F28" s="57" t="s">
        <v>115</v>
      </c>
      <c r="G28" s="26" t="s">
        <v>116</v>
      </c>
      <c r="H28" s="34">
        <v>0.33629999999999999</v>
      </c>
      <c r="I28" s="26">
        <v>0</v>
      </c>
      <c r="J28" s="26">
        <v>1</v>
      </c>
      <c r="K28" s="26">
        <v>1</v>
      </c>
      <c r="L28" s="68">
        <v>1</v>
      </c>
      <c r="M28" s="63">
        <v>3</v>
      </c>
      <c r="N28" s="69">
        <v>2</v>
      </c>
      <c r="O28" s="63">
        <v>3</v>
      </c>
      <c r="P28" s="63">
        <v>2</v>
      </c>
      <c r="Q28" s="63">
        <v>24.26</v>
      </c>
      <c r="R28" s="63">
        <v>0.74</v>
      </c>
      <c r="S28" s="63">
        <v>0</v>
      </c>
    </row>
    <row r="29" spans="1:19">
      <c r="A29" s="70"/>
      <c r="B29" s="70"/>
      <c r="C29" s="66"/>
      <c r="D29" s="58"/>
      <c r="E29" s="49"/>
      <c r="F29" s="58"/>
      <c r="G29" s="26" t="s">
        <v>117</v>
      </c>
      <c r="H29" s="34">
        <v>0.36909999999999998</v>
      </c>
      <c r="I29" s="26">
        <v>0</v>
      </c>
      <c r="J29" s="26">
        <v>1</v>
      </c>
      <c r="K29" s="26">
        <v>1</v>
      </c>
      <c r="L29" s="68"/>
      <c r="M29" s="63"/>
      <c r="N29" s="70"/>
      <c r="O29" s="63"/>
      <c r="P29" s="63"/>
      <c r="Q29" s="63"/>
      <c r="R29" s="63"/>
      <c r="S29" s="63"/>
    </row>
    <row r="30" spans="1:19">
      <c r="A30" s="70"/>
      <c r="B30" s="70"/>
      <c r="C30" s="66"/>
      <c r="D30" s="58"/>
      <c r="E30" s="49"/>
      <c r="F30" s="58"/>
      <c r="G30" s="26" t="s">
        <v>118</v>
      </c>
      <c r="H30" s="34">
        <v>0.36940000000000001</v>
      </c>
      <c r="I30" s="26">
        <v>0</v>
      </c>
      <c r="J30" s="26">
        <v>1</v>
      </c>
      <c r="K30" s="26">
        <v>1</v>
      </c>
      <c r="L30" s="68"/>
      <c r="M30" s="63"/>
      <c r="N30" s="70"/>
      <c r="O30" s="63"/>
      <c r="P30" s="63"/>
      <c r="Q30" s="63"/>
      <c r="R30" s="63"/>
      <c r="S30" s="63"/>
    </row>
    <row r="31" spans="1:19">
      <c r="A31" s="70"/>
      <c r="B31" s="70"/>
      <c r="C31" s="66"/>
      <c r="D31" s="58"/>
      <c r="E31" s="49"/>
      <c r="F31" s="58"/>
      <c r="G31" s="26" t="s">
        <v>119</v>
      </c>
      <c r="H31" s="34">
        <v>0.3715</v>
      </c>
      <c r="I31" s="26">
        <v>0</v>
      </c>
      <c r="J31" s="26">
        <v>1</v>
      </c>
      <c r="K31" s="26">
        <v>1</v>
      </c>
      <c r="L31" s="68"/>
      <c r="M31" s="63"/>
      <c r="N31" s="70"/>
      <c r="O31" s="63"/>
      <c r="P31" s="63"/>
      <c r="Q31" s="63"/>
      <c r="R31" s="63"/>
      <c r="S31" s="63"/>
    </row>
    <row r="32" spans="1:19">
      <c r="A32" s="71"/>
      <c r="B32" s="71"/>
      <c r="C32" s="67"/>
      <c r="D32" s="59"/>
      <c r="E32" s="50"/>
      <c r="F32" s="59"/>
      <c r="G32" s="26" t="s">
        <v>120</v>
      </c>
      <c r="H32" s="34">
        <v>0.37359999999999999</v>
      </c>
      <c r="I32" s="26">
        <v>0</v>
      </c>
      <c r="J32" s="26">
        <v>1</v>
      </c>
      <c r="K32" s="26">
        <v>1</v>
      </c>
      <c r="L32" s="68"/>
      <c r="M32" s="63"/>
      <c r="N32" s="71"/>
      <c r="O32" s="63"/>
      <c r="P32" s="63"/>
      <c r="Q32" s="63"/>
      <c r="R32" s="63"/>
      <c r="S32" s="63"/>
    </row>
    <row r="33" spans="1:19">
      <c r="A33" s="72">
        <v>7</v>
      </c>
      <c r="B33" s="72" t="s">
        <v>14</v>
      </c>
      <c r="C33" s="75" t="s">
        <v>10</v>
      </c>
      <c r="D33" s="60" t="s">
        <v>38</v>
      </c>
      <c r="E33" s="51"/>
      <c r="F33" s="60" t="s">
        <v>121</v>
      </c>
      <c r="G33" s="25" t="s">
        <v>122</v>
      </c>
      <c r="H33" s="33">
        <v>0.34860000000000002</v>
      </c>
      <c r="I33" s="25">
        <v>0</v>
      </c>
      <c r="J33" s="25">
        <v>1</v>
      </c>
      <c r="K33" s="25">
        <v>1</v>
      </c>
      <c r="L33" s="78">
        <v>1</v>
      </c>
      <c r="M33" s="64">
        <v>3</v>
      </c>
      <c r="N33" s="72">
        <v>2</v>
      </c>
      <c r="O33" s="64">
        <v>3</v>
      </c>
      <c r="P33" s="64">
        <v>2</v>
      </c>
      <c r="Q33" s="64">
        <v>21.876000000000001</v>
      </c>
      <c r="R33" s="64">
        <v>0.87</v>
      </c>
      <c r="S33" s="64">
        <v>0</v>
      </c>
    </row>
    <row r="34" spans="1:19">
      <c r="A34" s="73"/>
      <c r="B34" s="73"/>
      <c r="C34" s="76"/>
      <c r="D34" s="61"/>
      <c r="E34" s="52"/>
      <c r="F34" s="61"/>
      <c r="G34" s="25" t="s">
        <v>123</v>
      </c>
      <c r="H34" s="33">
        <v>0.35310000000000002</v>
      </c>
      <c r="I34" s="25">
        <v>0</v>
      </c>
      <c r="J34" s="25">
        <v>1</v>
      </c>
      <c r="K34" s="25">
        <v>1</v>
      </c>
      <c r="L34" s="78"/>
      <c r="M34" s="64"/>
      <c r="N34" s="73"/>
      <c r="O34" s="64"/>
      <c r="P34" s="64"/>
      <c r="Q34" s="64"/>
      <c r="R34" s="64"/>
      <c r="S34" s="64"/>
    </row>
    <row r="35" spans="1:19">
      <c r="A35" s="73"/>
      <c r="B35" s="73"/>
      <c r="C35" s="76"/>
      <c r="D35" s="61"/>
      <c r="E35" s="52"/>
      <c r="F35" s="61"/>
      <c r="G35" s="30" t="s">
        <v>124</v>
      </c>
      <c r="H35" s="33">
        <v>0.35610000000000003</v>
      </c>
      <c r="I35" s="25">
        <v>0</v>
      </c>
      <c r="J35" s="25">
        <v>1</v>
      </c>
      <c r="K35" s="25">
        <v>1</v>
      </c>
      <c r="L35" s="78"/>
      <c r="M35" s="64"/>
      <c r="N35" s="73"/>
      <c r="O35" s="64"/>
      <c r="P35" s="64"/>
      <c r="Q35" s="64"/>
      <c r="R35" s="64"/>
      <c r="S35" s="64"/>
    </row>
    <row r="36" spans="1:19">
      <c r="A36" s="73"/>
      <c r="B36" s="73"/>
      <c r="C36" s="76"/>
      <c r="D36" s="61"/>
      <c r="E36" s="52"/>
      <c r="F36" s="61"/>
      <c r="G36" s="25" t="s">
        <v>125</v>
      </c>
      <c r="H36" s="33">
        <v>0.36080000000000001</v>
      </c>
      <c r="I36" s="25">
        <v>0</v>
      </c>
      <c r="J36" s="25">
        <v>1</v>
      </c>
      <c r="K36" s="25">
        <v>1</v>
      </c>
      <c r="L36" s="78"/>
      <c r="M36" s="64"/>
      <c r="N36" s="73"/>
      <c r="O36" s="64"/>
      <c r="P36" s="64"/>
      <c r="Q36" s="64"/>
      <c r="R36" s="64"/>
      <c r="S36" s="64"/>
    </row>
    <row r="37" spans="1:19">
      <c r="A37" s="74"/>
      <c r="B37" s="74"/>
      <c r="C37" s="77"/>
      <c r="D37" s="62"/>
      <c r="E37" s="53"/>
      <c r="F37" s="62"/>
      <c r="G37" s="25" t="s">
        <v>126</v>
      </c>
      <c r="H37" s="33">
        <v>0.36370000000000002</v>
      </c>
      <c r="I37" s="25">
        <v>0</v>
      </c>
      <c r="J37" s="25">
        <v>1</v>
      </c>
      <c r="K37" s="25">
        <v>1</v>
      </c>
      <c r="L37" s="78"/>
      <c r="M37" s="64"/>
      <c r="N37" s="74"/>
      <c r="O37" s="64"/>
      <c r="P37" s="64"/>
      <c r="Q37" s="64"/>
      <c r="R37" s="64"/>
      <c r="S37" s="64"/>
    </row>
    <row r="38" spans="1:19">
      <c r="A38" s="69">
        <v>8</v>
      </c>
      <c r="B38" s="69" t="s">
        <v>14</v>
      </c>
      <c r="C38" s="65" t="s">
        <v>10</v>
      </c>
      <c r="D38" s="57" t="s">
        <v>39</v>
      </c>
      <c r="E38" s="48"/>
      <c r="F38" s="57" t="s">
        <v>128</v>
      </c>
      <c r="G38" s="26" t="s">
        <v>129</v>
      </c>
      <c r="H38" s="34">
        <v>0.48470000000000002</v>
      </c>
      <c r="I38" s="26">
        <v>0</v>
      </c>
      <c r="J38" s="26">
        <v>0</v>
      </c>
      <c r="K38" s="26">
        <v>1</v>
      </c>
      <c r="L38" s="63">
        <v>0</v>
      </c>
      <c r="M38" s="63">
        <v>3</v>
      </c>
      <c r="N38" s="69">
        <v>1</v>
      </c>
      <c r="O38" s="63">
        <v>3</v>
      </c>
      <c r="P38" s="63">
        <v>2</v>
      </c>
      <c r="Q38" s="63">
        <v>26.04</v>
      </c>
      <c r="R38" s="63">
        <v>0.40899999999999997</v>
      </c>
      <c r="S38" s="63">
        <v>0</v>
      </c>
    </row>
    <row r="39" spans="1:19">
      <c r="A39" s="70"/>
      <c r="B39" s="70"/>
      <c r="C39" s="66"/>
      <c r="D39" s="58"/>
      <c r="E39" s="49"/>
      <c r="F39" s="58"/>
      <c r="G39" s="26" t="s">
        <v>130</v>
      </c>
      <c r="H39" s="34">
        <v>0.48909999999999998</v>
      </c>
      <c r="I39" s="26">
        <v>0</v>
      </c>
      <c r="J39" s="26">
        <v>0</v>
      </c>
      <c r="K39" s="26">
        <v>1</v>
      </c>
      <c r="L39" s="63"/>
      <c r="M39" s="63"/>
      <c r="N39" s="70"/>
      <c r="O39" s="63"/>
      <c r="P39" s="63"/>
      <c r="Q39" s="63"/>
      <c r="R39" s="63"/>
      <c r="S39" s="63"/>
    </row>
    <row r="40" spans="1:19">
      <c r="A40" s="70"/>
      <c r="B40" s="70"/>
      <c r="C40" s="66"/>
      <c r="D40" s="58"/>
      <c r="E40" s="49"/>
      <c r="F40" s="58"/>
      <c r="G40" s="26" t="s">
        <v>131</v>
      </c>
      <c r="H40" s="34">
        <v>0.49109999999999998</v>
      </c>
      <c r="I40" s="26">
        <v>0</v>
      </c>
      <c r="J40" s="26">
        <v>0</v>
      </c>
      <c r="K40" s="26">
        <v>1</v>
      </c>
      <c r="L40" s="63"/>
      <c r="M40" s="63"/>
      <c r="N40" s="70"/>
      <c r="O40" s="63"/>
      <c r="P40" s="63"/>
      <c r="Q40" s="63"/>
      <c r="R40" s="63"/>
      <c r="S40" s="63"/>
    </row>
    <row r="41" spans="1:19">
      <c r="A41" s="70"/>
      <c r="B41" s="70"/>
      <c r="C41" s="66"/>
      <c r="D41" s="58"/>
      <c r="E41" s="49"/>
      <c r="F41" s="58"/>
      <c r="G41" s="26" t="s">
        <v>132</v>
      </c>
      <c r="H41" s="34">
        <v>0.49270000000000003</v>
      </c>
      <c r="I41" s="26">
        <v>0</v>
      </c>
      <c r="J41" s="26">
        <v>0</v>
      </c>
      <c r="K41" s="26">
        <v>1</v>
      </c>
      <c r="L41" s="63"/>
      <c r="M41" s="63"/>
      <c r="N41" s="70"/>
      <c r="O41" s="63"/>
      <c r="P41" s="63"/>
      <c r="Q41" s="63"/>
      <c r="R41" s="63"/>
      <c r="S41" s="63"/>
    </row>
    <row r="42" spans="1:19">
      <c r="A42" s="71"/>
      <c r="B42" s="71"/>
      <c r="C42" s="67"/>
      <c r="D42" s="59"/>
      <c r="E42" s="50"/>
      <c r="F42" s="59"/>
      <c r="G42" s="26" t="s">
        <v>133</v>
      </c>
      <c r="H42" s="34">
        <v>0.49859999999999999</v>
      </c>
      <c r="I42" s="26">
        <v>0</v>
      </c>
      <c r="J42" s="26">
        <v>0</v>
      </c>
      <c r="K42" s="26">
        <v>1</v>
      </c>
      <c r="L42" s="63"/>
      <c r="M42" s="63"/>
      <c r="N42" s="71"/>
      <c r="O42" s="63"/>
      <c r="P42" s="63"/>
      <c r="Q42" s="63"/>
      <c r="R42" s="63"/>
      <c r="S42" s="63"/>
    </row>
    <row r="43" spans="1:19">
      <c r="A43" s="72">
        <v>9</v>
      </c>
      <c r="B43" s="72" t="s">
        <v>14</v>
      </c>
      <c r="C43" s="75" t="s">
        <v>10</v>
      </c>
      <c r="D43" s="60" t="s">
        <v>42</v>
      </c>
      <c r="E43" s="51"/>
      <c r="F43" s="60" t="s">
        <v>139</v>
      </c>
      <c r="G43" s="25" t="s">
        <v>134</v>
      </c>
      <c r="H43" s="33">
        <v>0.57140000000000002</v>
      </c>
      <c r="I43" s="25">
        <v>0</v>
      </c>
      <c r="J43" s="25">
        <v>0</v>
      </c>
      <c r="K43" s="25">
        <v>0</v>
      </c>
      <c r="L43" s="78">
        <v>0</v>
      </c>
      <c r="M43" s="64">
        <v>2</v>
      </c>
      <c r="N43" s="72">
        <v>1</v>
      </c>
      <c r="O43" s="64">
        <v>2</v>
      </c>
      <c r="P43" s="64">
        <v>1</v>
      </c>
      <c r="Q43" s="64">
        <v>87.07</v>
      </c>
      <c r="R43" s="64">
        <v>0.94499999999999995</v>
      </c>
      <c r="S43" s="64">
        <v>0</v>
      </c>
    </row>
    <row r="44" spans="1:19">
      <c r="A44" s="73"/>
      <c r="B44" s="73"/>
      <c r="C44" s="76"/>
      <c r="D44" s="61"/>
      <c r="E44" s="52"/>
      <c r="F44" s="61"/>
      <c r="G44" s="25" t="s">
        <v>135</v>
      </c>
      <c r="H44" s="33">
        <v>0.57779999999999998</v>
      </c>
      <c r="I44" s="25">
        <v>0</v>
      </c>
      <c r="J44" s="25">
        <v>0</v>
      </c>
      <c r="K44" s="25">
        <v>0</v>
      </c>
      <c r="L44" s="78"/>
      <c r="M44" s="64"/>
      <c r="N44" s="73"/>
      <c r="O44" s="64"/>
      <c r="P44" s="64"/>
      <c r="Q44" s="64"/>
      <c r="R44" s="64"/>
      <c r="S44" s="64"/>
    </row>
    <row r="45" spans="1:19">
      <c r="A45" s="73"/>
      <c r="B45" s="73"/>
      <c r="C45" s="76"/>
      <c r="D45" s="61"/>
      <c r="E45" s="52"/>
      <c r="F45" s="61"/>
      <c r="G45" s="25" t="s">
        <v>136</v>
      </c>
      <c r="H45" s="33">
        <v>0.59360000000000002</v>
      </c>
      <c r="I45" s="25">
        <v>0</v>
      </c>
      <c r="J45" s="25">
        <v>0</v>
      </c>
      <c r="K45" s="25">
        <v>0</v>
      </c>
      <c r="L45" s="78"/>
      <c r="M45" s="64"/>
      <c r="N45" s="73"/>
      <c r="O45" s="64"/>
      <c r="P45" s="64"/>
      <c r="Q45" s="64"/>
      <c r="R45" s="64"/>
      <c r="S45" s="64"/>
    </row>
    <row r="46" spans="1:19">
      <c r="A46" s="73"/>
      <c r="B46" s="73"/>
      <c r="C46" s="76"/>
      <c r="D46" s="61"/>
      <c r="E46" s="52"/>
      <c r="F46" s="61"/>
      <c r="G46" s="25" t="s">
        <v>137</v>
      </c>
      <c r="H46" s="33">
        <v>0.61409999999999998</v>
      </c>
      <c r="I46" s="25">
        <v>0</v>
      </c>
      <c r="J46" s="25">
        <v>0</v>
      </c>
      <c r="K46" s="25">
        <v>0</v>
      </c>
      <c r="L46" s="78"/>
      <c r="M46" s="64"/>
      <c r="N46" s="73"/>
      <c r="O46" s="64"/>
      <c r="P46" s="64"/>
      <c r="Q46" s="64"/>
      <c r="R46" s="64"/>
      <c r="S46" s="64"/>
    </row>
    <row r="47" spans="1:19">
      <c r="A47" s="74"/>
      <c r="B47" s="74"/>
      <c r="C47" s="77"/>
      <c r="D47" s="62"/>
      <c r="E47" s="53"/>
      <c r="F47" s="62"/>
      <c r="G47" s="25" t="s">
        <v>138</v>
      </c>
      <c r="H47" s="33">
        <v>0.62860000000000005</v>
      </c>
      <c r="I47" s="25">
        <v>0</v>
      </c>
      <c r="J47" s="25">
        <v>0</v>
      </c>
      <c r="K47" s="25">
        <v>0</v>
      </c>
      <c r="L47" s="78"/>
      <c r="M47" s="64"/>
      <c r="N47" s="74"/>
      <c r="O47" s="64"/>
      <c r="P47" s="64"/>
      <c r="Q47" s="64"/>
      <c r="R47" s="64"/>
      <c r="S47" s="64"/>
    </row>
    <row r="48" spans="1:19">
      <c r="A48" s="69">
        <v>10</v>
      </c>
      <c r="B48" s="69" t="s">
        <v>14</v>
      </c>
      <c r="C48" s="65" t="s">
        <v>10</v>
      </c>
      <c r="D48" s="57" t="s">
        <v>43</v>
      </c>
      <c r="E48" s="48"/>
      <c r="F48" s="57" t="s">
        <v>140</v>
      </c>
      <c r="G48" s="26" t="s">
        <v>141</v>
      </c>
      <c r="H48" s="34">
        <v>0.59560000000000002</v>
      </c>
      <c r="I48" s="26">
        <v>0</v>
      </c>
      <c r="J48" s="26">
        <v>0</v>
      </c>
      <c r="K48" s="26">
        <v>0</v>
      </c>
      <c r="L48" s="63">
        <v>0</v>
      </c>
      <c r="M48" s="63">
        <v>3</v>
      </c>
      <c r="N48" s="69">
        <v>2</v>
      </c>
      <c r="O48" s="63">
        <v>3</v>
      </c>
      <c r="P48" s="63">
        <v>1</v>
      </c>
      <c r="Q48" s="63">
        <v>28.507999999999999</v>
      </c>
      <c r="R48" s="63">
        <v>0.53800000000000003</v>
      </c>
      <c r="S48" s="63">
        <v>1.84</v>
      </c>
    </row>
    <row r="49" spans="1:19">
      <c r="A49" s="70"/>
      <c r="B49" s="70"/>
      <c r="C49" s="66"/>
      <c r="D49" s="58"/>
      <c r="E49" s="49"/>
      <c r="F49" s="58"/>
      <c r="G49" s="26" t="s">
        <v>142</v>
      </c>
      <c r="H49" s="34">
        <v>0.60829999999999995</v>
      </c>
      <c r="I49" s="26">
        <v>0</v>
      </c>
      <c r="J49" s="26">
        <v>0</v>
      </c>
      <c r="K49" s="26">
        <v>0</v>
      </c>
      <c r="L49" s="63"/>
      <c r="M49" s="63"/>
      <c r="N49" s="70"/>
      <c r="O49" s="63"/>
      <c r="P49" s="63"/>
      <c r="Q49" s="63"/>
      <c r="R49" s="63"/>
      <c r="S49" s="63"/>
    </row>
    <row r="50" spans="1:19">
      <c r="A50" s="70"/>
      <c r="B50" s="70"/>
      <c r="C50" s="66"/>
      <c r="D50" s="58"/>
      <c r="E50" s="49"/>
      <c r="F50" s="58"/>
      <c r="G50" s="26" t="s">
        <v>143</v>
      </c>
      <c r="H50" s="34">
        <v>0.61</v>
      </c>
      <c r="I50" s="26">
        <v>0</v>
      </c>
      <c r="J50" s="26">
        <v>0</v>
      </c>
      <c r="K50" s="26">
        <v>0</v>
      </c>
      <c r="L50" s="63"/>
      <c r="M50" s="63"/>
      <c r="N50" s="70"/>
      <c r="O50" s="63"/>
      <c r="P50" s="63"/>
      <c r="Q50" s="63"/>
      <c r="R50" s="63"/>
      <c r="S50" s="63"/>
    </row>
    <row r="51" spans="1:19">
      <c r="A51" s="70"/>
      <c r="B51" s="70"/>
      <c r="C51" s="66"/>
      <c r="D51" s="58"/>
      <c r="E51" s="49"/>
      <c r="F51" s="58"/>
      <c r="G51" s="26" t="s">
        <v>144</v>
      </c>
      <c r="H51" s="34">
        <v>0.62239999999999995</v>
      </c>
      <c r="I51" s="26">
        <v>0</v>
      </c>
      <c r="J51" s="26">
        <v>0</v>
      </c>
      <c r="K51" s="26">
        <v>0</v>
      </c>
      <c r="L51" s="63"/>
      <c r="M51" s="63"/>
      <c r="N51" s="70"/>
      <c r="O51" s="63"/>
      <c r="P51" s="63"/>
      <c r="Q51" s="63"/>
      <c r="R51" s="63"/>
      <c r="S51" s="63"/>
    </row>
    <row r="52" spans="1:19">
      <c r="A52" s="71"/>
      <c r="B52" s="71"/>
      <c r="C52" s="67"/>
      <c r="D52" s="59"/>
      <c r="E52" s="50"/>
      <c r="F52" s="59"/>
      <c r="G52" s="26" t="s">
        <v>145</v>
      </c>
      <c r="H52" s="34">
        <v>0.63080000000000003</v>
      </c>
      <c r="I52" s="26">
        <v>0</v>
      </c>
      <c r="J52" s="26">
        <v>0</v>
      </c>
      <c r="K52" s="26">
        <v>0</v>
      </c>
      <c r="L52" s="63"/>
      <c r="M52" s="63"/>
      <c r="N52" s="71"/>
      <c r="O52" s="63"/>
      <c r="P52" s="63"/>
      <c r="Q52" s="63"/>
      <c r="R52" s="63"/>
      <c r="S52" s="63"/>
    </row>
    <row r="53" spans="1:19">
      <c r="A53" s="72">
        <v>11</v>
      </c>
      <c r="B53" s="72" t="s">
        <v>14</v>
      </c>
      <c r="C53" s="75" t="s">
        <v>25</v>
      </c>
      <c r="D53" s="60" t="s">
        <v>27</v>
      </c>
      <c r="E53" s="51"/>
      <c r="F53" s="60" t="s">
        <v>146</v>
      </c>
      <c r="G53" s="25" t="s">
        <v>147</v>
      </c>
      <c r="H53" s="33">
        <v>0.33750000000000002</v>
      </c>
      <c r="I53" s="25">
        <v>0</v>
      </c>
      <c r="J53" s="25">
        <v>1</v>
      </c>
      <c r="K53" s="25">
        <v>0</v>
      </c>
      <c r="L53" s="78">
        <v>0.8</v>
      </c>
      <c r="M53" s="64">
        <v>3</v>
      </c>
      <c r="N53" s="72">
        <v>1</v>
      </c>
      <c r="O53" s="64">
        <v>3</v>
      </c>
      <c r="P53" s="64">
        <v>1</v>
      </c>
      <c r="Q53" s="64">
        <v>28.84</v>
      </c>
      <c r="R53" s="64">
        <v>0.53200000000000003</v>
      </c>
      <c r="S53" s="64">
        <v>0</v>
      </c>
    </row>
    <row r="54" spans="1:19">
      <c r="A54" s="73"/>
      <c r="B54" s="73"/>
      <c r="C54" s="76"/>
      <c r="D54" s="61"/>
      <c r="E54" s="52"/>
      <c r="F54" s="61"/>
      <c r="G54" s="25" t="s">
        <v>148</v>
      </c>
      <c r="H54" s="33">
        <v>0.36749999999999999</v>
      </c>
      <c r="I54" s="25">
        <v>0</v>
      </c>
      <c r="J54" s="25">
        <v>1</v>
      </c>
      <c r="K54" s="25">
        <v>0</v>
      </c>
      <c r="L54" s="78"/>
      <c r="M54" s="64"/>
      <c r="N54" s="73"/>
      <c r="O54" s="64"/>
      <c r="P54" s="64"/>
      <c r="Q54" s="64"/>
      <c r="R54" s="64"/>
      <c r="S54" s="64"/>
    </row>
    <row r="55" spans="1:19">
      <c r="A55" s="73"/>
      <c r="B55" s="73"/>
      <c r="C55" s="76"/>
      <c r="D55" s="61"/>
      <c r="E55" s="52"/>
      <c r="F55" s="61"/>
      <c r="G55" s="25" t="s">
        <v>149</v>
      </c>
      <c r="H55" s="33">
        <v>0.38940000000000002</v>
      </c>
      <c r="I55" s="25">
        <v>0</v>
      </c>
      <c r="J55" s="25">
        <v>1</v>
      </c>
      <c r="K55" s="25">
        <v>0</v>
      </c>
      <c r="L55" s="78"/>
      <c r="M55" s="64"/>
      <c r="N55" s="73"/>
      <c r="O55" s="64"/>
      <c r="P55" s="64"/>
      <c r="Q55" s="64"/>
      <c r="R55" s="64"/>
      <c r="S55" s="64"/>
    </row>
    <row r="56" spans="1:19">
      <c r="A56" s="73"/>
      <c r="B56" s="73"/>
      <c r="C56" s="76"/>
      <c r="D56" s="61"/>
      <c r="E56" s="52"/>
      <c r="F56" s="61"/>
      <c r="G56" s="25" t="s">
        <v>69</v>
      </c>
      <c r="H56" s="33">
        <v>0.39079999999999998</v>
      </c>
      <c r="I56" s="25">
        <v>0</v>
      </c>
      <c r="J56" s="25">
        <v>1</v>
      </c>
      <c r="K56" s="25">
        <v>0</v>
      </c>
      <c r="L56" s="78"/>
      <c r="M56" s="64"/>
      <c r="N56" s="73"/>
      <c r="O56" s="64"/>
      <c r="P56" s="64"/>
      <c r="Q56" s="64"/>
      <c r="R56" s="64"/>
      <c r="S56" s="64"/>
    </row>
    <row r="57" spans="1:19">
      <c r="A57" s="74"/>
      <c r="B57" s="74"/>
      <c r="C57" s="77"/>
      <c r="D57" s="62"/>
      <c r="E57" s="53"/>
      <c r="F57" s="62"/>
      <c r="G57" s="25" t="s">
        <v>86</v>
      </c>
      <c r="H57" s="33">
        <v>0.4027</v>
      </c>
      <c r="I57" s="25">
        <v>0</v>
      </c>
      <c r="J57" s="25">
        <v>0</v>
      </c>
      <c r="K57" s="25">
        <v>0</v>
      </c>
      <c r="L57" s="78"/>
      <c r="M57" s="64"/>
      <c r="N57" s="74"/>
      <c r="O57" s="64"/>
      <c r="P57" s="64"/>
      <c r="Q57" s="64"/>
      <c r="R57" s="64"/>
      <c r="S57" s="64"/>
    </row>
    <row r="58" spans="1:19">
      <c r="A58" s="69">
        <v>12</v>
      </c>
      <c r="B58" s="69" t="s">
        <v>14</v>
      </c>
      <c r="C58" s="65" t="s">
        <v>25</v>
      </c>
      <c r="D58" s="57" t="s">
        <v>44</v>
      </c>
      <c r="E58" s="48"/>
      <c r="F58" s="57" t="s">
        <v>155</v>
      </c>
      <c r="G58" s="26" t="s">
        <v>150</v>
      </c>
      <c r="H58" s="34">
        <v>0.31230000000000002</v>
      </c>
      <c r="I58" s="26">
        <v>0</v>
      </c>
      <c r="J58" s="26">
        <v>1</v>
      </c>
      <c r="K58" s="26">
        <v>1</v>
      </c>
      <c r="L58" s="68">
        <v>1</v>
      </c>
      <c r="M58" s="63">
        <v>2</v>
      </c>
      <c r="N58" s="69">
        <v>1</v>
      </c>
      <c r="O58" s="63">
        <v>2</v>
      </c>
      <c r="P58" s="63">
        <v>2</v>
      </c>
      <c r="Q58" s="63">
        <v>26.1</v>
      </c>
      <c r="R58" s="63">
        <v>0.65200000000000002</v>
      </c>
      <c r="S58" s="63">
        <v>0</v>
      </c>
    </row>
    <row r="59" spans="1:19">
      <c r="A59" s="70"/>
      <c r="B59" s="70"/>
      <c r="C59" s="66"/>
      <c r="D59" s="58"/>
      <c r="E59" s="49"/>
      <c r="F59" s="58"/>
      <c r="G59" s="26" t="s">
        <v>151</v>
      </c>
      <c r="H59" s="34">
        <v>0.34789999999999999</v>
      </c>
      <c r="I59" s="26">
        <v>0</v>
      </c>
      <c r="J59" s="26">
        <v>1</v>
      </c>
      <c r="K59" s="26">
        <v>1</v>
      </c>
      <c r="L59" s="68"/>
      <c r="M59" s="63"/>
      <c r="N59" s="70"/>
      <c r="O59" s="63"/>
      <c r="P59" s="63"/>
      <c r="Q59" s="63"/>
      <c r="R59" s="63"/>
      <c r="S59" s="63"/>
    </row>
    <row r="60" spans="1:19">
      <c r="A60" s="70"/>
      <c r="B60" s="70"/>
      <c r="C60" s="66"/>
      <c r="D60" s="58"/>
      <c r="E60" s="49"/>
      <c r="F60" s="58"/>
      <c r="G60" s="26" t="s">
        <v>152</v>
      </c>
      <c r="H60" s="34">
        <v>0.34949999999999998</v>
      </c>
      <c r="I60" s="26">
        <v>0</v>
      </c>
      <c r="J60" s="26">
        <v>1</v>
      </c>
      <c r="K60" s="26">
        <v>1</v>
      </c>
      <c r="L60" s="68"/>
      <c r="M60" s="63"/>
      <c r="N60" s="70"/>
      <c r="O60" s="63"/>
      <c r="P60" s="63"/>
      <c r="Q60" s="63"/>
      <c r="R60" s="63"/>
      <c r="S60" s="63"/>
    </row>
    <row r="61" spans="1:19">
      <c r="A61" s="70"/>
      <c r="B61" s="70"/>
      <c r="C61" s="66"/>
      <c r="D61" s="58"/>
      <c r="E61" s="49"/>
      <c r="F61" s="58"/>
      <c r="G61" s="26" t="s">
        <v>153</v>
      </c>
      <c r="H61" s="34">
        <v>0.3538</v>
      </c>
      <c r="I61" s="26">
        <v>0</v>
      </c>
      <c r="J61" s="26">
        <v>1</v>
      </c>
      <c r="K61" s="26">
        <v>1</v>
      </c>
      <c r="L61" s="68"/>
      <c r="M61" s="63"/>
      <c r="N61" s="70"/>
      <c r="O61" s="63"/>
      <c r="P61" s="63"/>
      <c r="Q61" s="63"/>
      <c r="R61" s="63"/>
      <c r="S61" s="63"/>
    </row>
    <row r="62" spans="1:19">
      <c r="A62" s="71"/>
      <c r="B62" s="71"/>
      <c r="C62" s="67"/>
      <c r="D62" s="59"/>
      <c r="E62" s="50"/>
      <c r="F62" s="59"/>
      <c r="G62" s="26" t="s">
        <v>154</v>
      </c>
      <c r="H62" s="34">
        <v>0.35670000000000002</v>
      </c>
      <c r="I62" s="26">
        <v>0</v>
      </c>
      <c r="J62" s="26">
        <v>1</v>
      </c>
      <c r="K62" s="26">
        <v>1</v>
      </c>
      <c r="L62" s="68"/>
      <c r="M62" s="63"/>
      <c r="N62" s="71"/>
      <c r="O62" s="63"/>
      <c r="P62" s="63"/>
      <c r="Q62" s="63"/>
      <c r="R62" s="63"/>
      <c r="S62" s="63"/>
    </row>
    <row r="63" spans="1:19">
      <c r="A63" s="72">
        <v>13</v>
      </c>
      <c r="B63" s="72" t="s">
        <v>14</v>
      </c>
      <c r="C63" s="75" t="s">
        <v>25</v>
      </c>
      <c r="D63" s="60" t="s">
        <v>156</v>
      </c>
      <c r="E63" s="51"/>
      <c r="F63" s="60" t="s">
        <v>157</v>
      </c>
      <c r="G63" s="25" t="s">
        <v>158</v>
      </c>
      <c r="H63" s="33">
        <v>0.36699999999999999</v>
      </c>
      <c r="I63" s="25">
        <v>0</v>
      </c>
      <c r="J63" s="25">
        <v>1</v>
      </c>
      <c r="K63" s="25">
        <v>1</v>
      </c>
      <c r="L63" s="78">
        <v>0.8</v>
      </c>
      <c r="M63" s="64">
        <v>2</v>
      </c>
      <c r="N63" s="72">
        <v>1</v>
      </c>
      <c r="O63" s="64">
        <v>3</v>
      </c>
      <c r="P63" s="64">
        <v>2</v>
      </c>
      <c r="Q63" s="64">
        <v>62.95</v>
      </c>
      <c r="R63" s="64">
        <v>1.27</v>
      </c>
      <c r="S63" s="64">
        <v>0</v>
      </c>
    </row>
    <row r="64" spans="1:19">
      <c r="A64" s="73"/>
      <c r="B64" s="73"/>
      <c r="C64" s="76"/>
      <c r="D64" s="61"/>
      <c r="E64" s="52"/>
      <c r="F64" s="61"/>
      <c r="G64" s="25" t="s">
        <v>119</v>
      </c>
      <c r="H64" s="33">
        <v>0.38529999999999998</v>
      </c>
      <c r="I64" s="25">
        <v>0</v>
      </c>
      <c r="J64" s="25">
        <v>1</v>
      </c>
      <c r="K64" s="25">
        <v>1</v>
      </c>
      <c r="L64" s="78"/>
      <c r="M64" s="64"/>
      <c r="N64" s="73"/>
      <c r="O64" s="64"/>
      <c r="P64" s="64"/>
      <c r="Q64" s="64"/>
      <c r="R64" s="64"/>
      <c r="S64" s="64"/>
    </row>
    <row r="65" spans="1:19">
      <c r="A65" s="73"/>
      <c r="B65" s="73"/>
      <c r="C65" s="76"/>
      <c r="D65" s="61"/>
      <c r="E65" s="52"/>
      <c r="F65" s="61"/>
      <c r="G65" s="25" t="s">
        <v>159</v>
      </c>
      <c r="H65" s="33">
        <v>0.39100000000000001</v>
      </c>
      <c r="I65" s="25">
        <v>0</v>
      </c>
      <c r="J65" s="25">
        <v>1</v>
      </c>
      <c r="K65" s="25">
        <v>1</v>
      </c>
      <c r="L65" s="78"/>
      <c r="M65" s="64"/>
      <c r="N65" s="73"/>
      <c r="O65" s="64"/>
      <c r="P65" s="64"/>
      <c r="Q65" s="64"/>
      <c r="R65" s="64"/>
      <c r="S65" s="64"/>
    </row>
    <row r="66" spans="1:19">
      <c r="A66" s="73"/>
      <c r="B66" s="73"/>
      <c r="C66" s="76"/>
      <c r="D66" s="61"/>
      <c r="E66" s="52"/>
      <c r="F66" s="61"/>
      <c r="G66" s="25" t="s">
        <v>160</v>
      </c>
      <c r="H66" s="33">
        <v>0.40389999999999998</v>
      </c>
      <c r="I66" s="25">
        <v>0</v>
      </c>
      <c r="J66" s="25">
        <v>1</v>
      </c>
      <c r="K66" s="25">
        <v>1</v>
      </c>
      <c r="L66" s="78"/>
      <c r="M66" s="64"/>
      <c r="N66" s="73"/>
      <c r="O66" s="64"/>
      <c r="P66" s="64"/>
      <c r="Q66" s="64"/>
      <c r="R66" s="64"/>
      <c r="S66" s="64"/>
    </row>
    <row r="67" spans="1:19">
      <c r="A67" s="74"/>
      <c r="B67" s="74"/>
      <c r="C67" s="77"/>
      <c r="D67" s="62"/>
      <c r="E67" s="53"/>
      <c r="F67" s="62"/>
      <c r="G67" s="25" t="s">
        <v>161</v>
      </c>
      <c r="H67" s="33">
        <v>0.42070000000000002</v>
      </c>
      <c r="I67" s="25">
        <v>0</v>
      </c>
      <c r="J67" s="25">
        <v>0</v>
      </c>
      <c r="K67" s="25">
        <v>1</v>
      </c>
      <c r="L67" s="78"/>
      <c r="M67" s="64"/>
      <c r="N67" s="74"/>
      <c r="O67" s="64"/>
      <c r="P67" s="64"/>
      <c r="Q67" s="64"/>
      <c r="R67" s="64"/>
      <c r="S67" s="64"/>
    </row>
    <row r="68" spans="1:19">
      <c r="A68" s="69">
        <v>14</v>
      </c>
      <c r="B68" s="69" t="s">
        <v>14</v>
      </c>
      <c r="C68" s="65" t="s">
        <v>25</v>
      </c>
      <c r="D68" s="57" t="s">
        <v>49</v>
      </c>
      <c r="E68" s="48"/>
      <c r="F68" s="57" t="s">
        <v>162</v>
      </c>
      <c r="G68" s="26" t="s">
        <v>163</v>
      </c>
      <c r="H68" s="34">
        <v>0.3044</v>
      </c>
      <c r="I68" s="26">
        <v>1</v>
      </c>
      <c r="J68" s="26">
        <v>1</v>
      </c>
      <c r="K68" s="26">
        <v>1</v>
      </c>
      <c r="L68" s="68">
        <v>1</v>
      </c>
      <c r="M68" s="63">
        <v>2</v>
      </c>
      <c r="N68" s="69">
        <v>2</v>
      </c>
      <c r="O68" s="63">
        <v>3</v>
      </c>
      <c r="P68" s="63">
        <v>1</v>
      </c>
      <c r="Q68" s="63">
        <v>157.13</v>
      </c>
      <c r="R68" s="63">
        <v>0.47499999999999998</v>
      </c>
      <c r="S68" s="63">
        <v>0</v>
      </c>
    </row>
    <row r="69" spans="1:19">
      <c r="A69" s="70"/>
      <c r="B69" s="70"/>
      <c r="C69" s="66"/>
      <c r="D69" s="58"/>
      <c r="E69" s="49"/>
      <c r="F69" s="58"/>
      <c r="G69" s="26" t="s">
        <v>164</v>
      </c>
      <c r="H69" s="34">
        <v>0.31580000000000003</v>
      </c>
      <c r="I69" s="26">
        <v>0</v>
      </c>
      <c r="J69" s="26">
        <v>1</v>
      </c>
      <c r="K69" s="26">
        <v>1</v>
      </c>
      <c r="L69" s="68"/>
      <c r="M69" s="63"/>
      <c r="N69" s="70"/>
      <c r="O69" s="63"/>
      <c r="P69" s="63"/>
      <c r="Q69" s="63"/>
      <c r="R69" s="63"/>
      <c r="S69" s="63"/>
    </row>
    <row r="70" spans="1:19">
      <c r="A70" s="70"/>
      <c r="B70" s="70"/>
      <c r="C70" s="66"/>
      <c r="D70" s="58"/>
      <c r="E70" s="49"/>
      <c r="F70" s="58"/>
      <c r="G70" s="26" t="s">
        <v>165</v>
      </c>
      <c r="H70" s="34">
        <v>0.32550000000000001</v>
      </c>
      <c r="I70" s="26">
        <v>0</v>
      </c>
      <c r="J70" s="26">
        <v>1</v>
      </c>
      <c r="K70" s="26">
        <v>1</v>
      </c>
      <c r="L70" s="68"/>
      <c r="M70" s="63"/>
      <c r="N70" s="70"/>
      <c r="O70" s="63"/>
      <c r="P70" s="63"/>
      <c r="Q70" s="63"/>
      <c r="R70" s="63"/>
      <c r="S70" s="63"/>
    </row>
    <row r="71" spans="1:19">
      <c r="A71" s="70"/>
      <c r="B71" s="70"/>
      <c r="C71" s="66"/>
      <c r="D71" s="58"/>
      <c r="E71" s="49"/>
      <c r="F71" s="58"/>
      <c r="G71" s="26" t="s">
        <v>166</v>
      </c>
      <c r="H71" s="34">
        <v>0.32590000000000002</v>
      </c>
      <c r="I71" s="26">
        <v>0</v>
      </c>
      <c r="J71" s="26">
        <v>1</v>
      </c>
      <c r="K71" s="26">
        <v>1</v>
      </c>
      <c r="L71" s="68"/>
      <c r="M71" s="63"/>
      <c r="N71" s="70"/>
      <c r="O71" s="63"/>
      <c r="P71" s="63"/>
      <c r="Q71" s="63"/>
      <c r="R71" s="63"/>
      <c r="S71" s="63"/>
    </row>
    <row r="72" spans="1:19">
      <c r="A72" s="71"/>
      <c r="B72" s="71"/>
      <c r="C72" s="67"/>
      <c r="D72" s="59"/>
      <c r="E72" s="50"/>
      <c r="F72" s="59"/>
      <c r="G72" s="26" t="s">
        <v>167</v>
      </c>
      <c r="H72" s="34">
        <v>0.3276</v>
      </c>
      <c r="I72" s="26">
        <v>0</v>
      </c>
      <c r="J72" s="26">
        <v>1</v>
      </c>
      <c r="K72" s="26">
        <v>1</v>
      </c>
      <c r="L72" s="68"/>
      <c r="M72" s="63"/>
      <c r="N72" s="71"/>
      <c r="O72" s="63"/>
      <c r="P72" s="63"/>
      <c r="Q72" s="63"/>
      <c r="R72" s="63"/>
      <c r="S72" s="63"/>
    </row>
    <row r="73" spans="1:19">
      <c r="A73" s="72">
        <v>15</v>
      </c>
      <c r="B73" s="72" t="s">
        <v>14</v>
      </c>
      <c r="C73" s="75" t="s">
        <v>25</v>
      </c>
      <c r="D73" s="60" t="s">
        <v>50</v>
      </c>
      <c r="E73" s="51"/>
      <c r="F73" s="60" t="s">
        <v>168</v>
      </c>
      <c r="G73" s="25" t="s">
        <v>173</v>
      </c>
      <c r="H73" s="33">
        <v>0.436</v>
      </c>
      <c r="I73" s="25">
        <v>0</v>
      </c>
      <c r="J73" s="25">
        <v>0</v>
      </c>
      <c r="K73" s="25">
        <v>1</v>
      </c>
      <c r="L73" s="78">
        <v>0</v>
      </c>
      <c r="M73" s="64">
        <v>2</v>
      </c>
      <c r="N73" s="72">
        <v>1</v>
      </c>
      <c r="O73" s="64">
        <v>3</v>
      </c>
      <c r="P73" s="64">
        <v>2</v>
      </c>
      <c r="Q73" s="64">
        <v>63.25</v>
      </c>
      <c r="R73" s="64">
        <v>0.49</v>
      </c>
      <c r="S73" s="64">
        <v>0</v>
      </c>
    </row>
    <row r="74" spans="1:19">
      <c r="A74" s="73"/>
      <c r="B74" s="73"/>
      <c r="C74" s="76"/>
      <c r="D74" s="61"/>
      <c r="E74" s="52"/>
      <c r="F74" s="61"/>
      <c r="G74" s="25" t="s">
        <v>172</v>
      </c>
      <c r="H74" s="25">
        <v>0.43969999999999998</v>
      </c>
      <c r="I74" s="25">
        <v>0</v>
      </c>
      <c r="J74" s="25">
        <v>0</v>
      </c>
      <c r="K74" s="25">
        <v>1</v>
      </c>
      <c r="L74" s="78"/>
      <c r="M74" s="64"/>
      <c r="N74" s="73"/>
      <c r="O74" s="64"/>
      <c r="P74" s="64"/>
      <c r="Q74" s="64"/>
      <c r="R74" s="64"/>
      <c r="S74" s="64"/>
    </row>
    <row r="75" spans="1:19">
      <c r="A75" s="73"/>
      <c r="B75" s="73"/>
      <c r="C75" s="76"/>
      <c r="D75" s="61"/>
      <c r="E75" s="52"/>
      <c r="F75" s="61"/>
      <c r="G75" s="25" t="s">
        <v>171</v>
      </c>
      <c r="H75" s="25">
        <v>0.44740000000000002</v>
      </c>
      <c r="I75" s="25">
        <v>0</v>
      </c>
      <c r="J75" s="25">
        <v>0</v>
      </c>
      <c r="K75" s="25">
        <v>1</v>
      </c>
      <c r="L75" s="78"/>
      <c r="M75" s="64"/>
      <c r="N75" s="73"/>
      <c r="O75" s="64"/>
      <c r="P75" s="64"/>
      <c r="Q75" s="64"/>
      <c r="R75" s="64"/>
      <c r="S75" s="64"/>
    </row>
    <row r="76" spans="1:19">
      <c r="A76" s="73"/>
      <c r="B76" s="73"/>
      <c r="C76" s="76"/>
      <c r="D76" s="61"/>
      <c r="E76" s="52"/>
      <c r="F76" s="61"/>
      <c r="G76" s="25" t="s">
        <v>170</v>
      </c>
      <c r="H76" s="25">
        <v>0.45250000000000001</v>
      </c>
      <c r="I76" s="25">
        <v>0</v>
      </c>
      <c r="J76" s="25">
        <v>0</v>
      </c>
      <c r="K76" s="25">
        <v>1</v>
      </c>
      <c r="L76" s="78"/>
      <c r="M76" s="64"/>
      <c r="N76" s="73"/>
      <c r="O76" s="64"/>
      <c r="P76" s="64"/>
      <c r="Q76" s="64"/>
      <c r="R76" s="64"/>
      <c r="S76" s="64"/>
    </row>
    <row r="77" spans="1:19">
      <c r="A77" s="74"/>
      <c r="B77" s="74"/>
      <c r="C77" s="77"/>
      <c r="D77" s="62"/>
      <c r="E77" s="53"/>
      <c r="F77" s="62"/>
      <c r="G77" s="25" t="s">
        <v>169</v>
      </c>
      <c r="H77" s="25">
        <v>0.45689999999999997</v>
      </c>
      <c r="I77" s="25">
        <v>0</v>
      </c>
      <c r="J77" s="25">
        <v>0</v>
      </c>
      <c r="K77" s="25">
        <v>1</v>
      </c>
      <c r="L77" s="78"/>
      <c r="M77" s="64"/>
      <c r="N77" s="74"/>
      <c r="O77" s="64"/>
      <c r="P77" s="64"/>
      <c r="Q77" s="64"/>
      <c r="R77" s="64"/>
      <c r="S77" s="64"/>
    </row>
    <row r="78" spans="1:19">
      <c r="A78" s="69">
        <v>16</v>
      </c>
      <c r="B78" s="69" t="s">
        <v>14</v>
      </c>
      <c r="C78" s="65" t="s">
        <v>25</v>
      </c>
      <c r="D78" s="57" t="s">
        <v>46</v>
      </c>
      <c r="E78" s="48"/>
      <c r="F78" s="57" t="s">
        <v>177</v>
      </c>
      <c r="G78" s="26" t="s">
        <v>178</v>
      </c>
      <c r="H78" s="26">
        <v>0.39489999999999997</v>
      </c>
      <c r="I78" s="26">
        <v>0</v>
      </c>
      <c r="J78" s="26">
        <v>1</v>
      </c>
      <c r="K78" s="26">
        <v>1</v>
      </c>
      <c r="L78" s="68">
        <v>0.2</v>
      </c>
      <c r="M78" s="63">
        <v>2</v>
      </c>
      <c r="N78" s="69">
        <v>1</v>
      </c>
      <c r="O78" s="63">
        <v>3</v>
      </c>
      <c r="P78" s="63">
        <v>2</v>
      </c>
      <c r="Q78" s="63">
        <v>93.62</v>
      </c>
      <c r="R78" s="63">
        <v>0.75</v>
      </c>
      <c r="S78" s="63">
        <v>0</v>
      </c>
    </row>
    <row r="79" spans="1:19">
      <c r="A79" s="70"/>
      <c r="B79" s="70"/>
      <c r="C79" s="66"/>
      <c r="D79" s="58"/>
      <c r="E79" s="49"/>
      <c r="F79" s="58"/>
      <c r="G79" s="26" t="s">
        <v>88</v>
      </c>
      <c r="H79" s="26">
        <v>0.43180000000000002</v>
      </c>
      <c r="I79" s="26">
        <v>0</v>
      </c>
      <c r="J79" s="26">
        <v>0</v>
      </c>
      <c r="K79" s="26">
        <v>1</v>
      </c>
      <c r="L79" s="68"/>
      <c r="M79" s="63"/>
      <c r="N79" s="70"/>
      <c r="O79" s="63"/>
      <c r="P79" s="63"/>
      <c r="Q79" s="63"/>
      <c r="R79" s="63"/>
      <c r="S79" s="63"/>
    </row>
    <row r="80" spans="1:19">
      <c r="A80" s="70"/>
      <c r="B80" s="70"/>
      <c r="C80" s="66"/>
      <c r="D80" s="58"/>
      <c r="E80" s="49"/>
      <c r="F80" s="58"/>
      <c r="G80" s="26" t="s">
        <v>179</v>
      </c>
      <c r="H80" s="26">
        <v>0.47770000000000001</v>
      </c>
      <c r="I80" s="26">
        <v>0</v>
      </c>
      <c r="J80" s="26">
        <v>0</v>
      </c>
      <c r="K80" s="26">
        <v>1</v>
      </c>
      <c r="L80" s="68"/>
      <c r="M80" s="63"/>
      <c r="N80" s="70"/>
      <c r="O80" s="63"/>
      <c r="P80" s="63"/>
      <c r="Q80" s="63"/>
      <c r="R80" s="63"/>
      <c r="S80" s="63"/>
    </row>
    <row r="81" spans="1:19">
      <c r="A81" s="70"/>
      <c r="B81" s="70"/>
      <c r="C81" s="66"/>
      <c r="D81" s="58"/>
      <c r="E81" s="49"/>
      <c r="F81" s="58"/>
      <c r="G81" s="26" t="s">
        <v>87</v>
      </c>
      <c r="H81" s="26">
        <v>0.48120000000000002</v>
      </c>
      <c r="I81" s="26">
        <v>0</v>
      </c>
      <c r="J81" s="26">
        <v>0</v>
      </c>
      <c r="K81" s="26">
        <v>1</v>
      </c>
      <c r="L81" s="68"/>
      <c r="M81" s="63"/>
      <c r="N81" s="70"/>
      <c r="O81" s="63"/>
      <c r="P81" s="63"/>
      <c r="Q81" s="63"/>
      <c r="R81" s="63"/>
      <c r="S81" s="63"/>
    </row>
    <row r="82" spans="1:19">
      <c r="A82" s="71"/>
      <c r="B82" s="71"/>
      <c r="C82" s="67"/>
      <c r="D82" s="59"/>
      <c r="E82" s="50"/>
      <c r="F82" s="59"/>
      <c r="G82" s="26" t="s">
        <v>180</v>
      </c>
      <c r="H82" s="26">
        <v>0.48959999999999998</v>
      </c>
      <c r="I82" s="26">
        <v>0</v>
      </c>
      <c r="J82" s="26">
        <v>0</v>
      </c>
      <c r="K82" s="26">
        <v>1</v>
      </c>
      <c r="L82" s="68"/>
      <c r="M82" s="63"/>
      <c r="N82" s="71"/>
      <c r="O82" s="63"/>
      <c r="P82" s="63"/>
      <c r="Q82" s="63"/>
      <c r="R82" s="63"/>
      <c r="S82" s="63"/>
    </row>
    <row r="83" spans="1:19" ht="15.6" customHeight="1">
      <c r="A83" s="72">
        <v>17</v>
      </c>
      <c r="B83" s="72" t="s">
        <v>14</v>
      </c>
      <c r="C83" s="75" t="s">
        <v>25</v>
      </c>
      <c r="D83" s="60" t="s">
        <v>47</v>
      </c>
      <c r="E83" s="51"/>
      <c r="F83" s="60" t="s">
        <v>181</v>
      </c>
      <c r="G83" s="25" t="s">
        <v>182</v>
      </c>
      <c r="H83" s="25">
        <v>0.36399999999999999</v>
      </c>
      <c r="I83" s="25">
        <v>0</v>
      </c>
      <c r="J83" s="25">
        <v>1</v>
      </c>
      <c r="K83" s="25">
        <v>1</v>
      </c>
      <c r="L83" s="78">
        <v>0.6</v>
      </c>
      <c r="M83" s="64">
        <v>2</v>
      </c>
      <c r="N83" s="72">
        <v>1</v>
      </c>
      <c r="O83" s="64">
        <v>3</v>
      </c>
      <c r="P83" s="64">
        <v>2</v>
      </c>
      <c r="Q83" s="64">
        <v>26.89</v>
      </c>
      <c r="R83" s="64">
        <v>0.65</v>
      </c>
      <c r="S83" s="64">
        <v>0</v>
      </c>
    </row>
    <row r="84" spans="1:19">
      <c r="A84" s="73"/>
      <c r="B84" s="73"/>
      <c r="C84" s="76"/>
      <c r="D84" s="61"/>
      <c r="E84" s="52"/>
      <c r="F84" s="61"/>
      <c r="G84" s="25" t="s">
        <v>183</v>
      </c>
      <c r="H84" s="25">
        <v>0.39019999999999999</v>
      </c>
      <c r="I84" s="25">
        <v>0</v>
      </c>
      <c r="J84" s="25">
        <v>1</v>
      </c>
      <c r="K84" s="25">
        <v>1</v>
      </c>
      <c r="L84" s="78"/>
      <c r="M84" s="64"/>
      <c r="N84" s="73"/>
      <c r="O84" s="64"/>
      <c r="P84" s="64"/>
      <c r="Q84" s="64"/>
      <c r="R84" s="64"/>
      <c r="S84" s="64"/>
    </row>
    <row r="85" spans="1:19">
      <c r="A85" s="73"/>
      <c r="B85" s="73"/>
      <c r="C85" s="76"/>
      <c r="D85" s="61"/>
      <c r="E85" s="52"/>
      <c r="F85" s="61"/>
      <c r="G85" s="25" t="s">
        <v>184</v>
      </c>
      <c r="H85" s="25">
        <v>0.40250000000000002</v>
      </c>
      <c r="I85" s="25">
        <v>0</v>
      </c>
      <c r="J85" s="25">
        <v>1</v>
      </c>
      <c r="K85" s="25">
        <v>1</v>
      </c>
      <c r="L85" s="78"/>
      <c r="M85" s="64"/>
      <c r="N85" s="73"/>
      <c r="O85" s="64"/>
      <c r="P85" s="64"/>
      <c r="Q85" s="64"/>
      <c r="R85" s="64"/>
      <c r="S85" s="64"/>
    </row>
    <row r="86" spans="1:19">
      <c r="A86" s="73"/>
      <c r="B86" s="73"/>
      <c r="C86" s="76"/>
      <c r="D86" s="61"/>
      <c r="E86" s="52"/>
      <c r="F86" s="61"/>
      <c r="G86" s="25" t="s">
        <v>185</v>
      </c>
      <c r="H86" s="25">
        <v>0.40939999999999999</v>
      </c>
      <c r="I86" s="25">
        <v>0</v>
      </c>
      <c r="J86" s="25">
        <v>0</v>
      </c>
      <c r="K86" s="25">
        <v>1</v>
      </c>
      <c r="L86" s="78"/>
      <c r="M86" s="64"/>
      <c r="N86" s="73"/>
      <c r="O86" s="64"/>
      <c r="P86" s="64"/>
      <c r="Q86" s="64"/>
      <c r="R86" s="64"/>
      <c r="S86" s="64"/>
    </row>
    <row r="87" spans="1:19">
      <c r="A87" s="74"/>
      <c r="B87" s="74"/>
      <c r="C87" s="77"/>
      <c r="D87" s="62"/>
      <c r="E87" s="53"/>
      <c r="F87" s="62"/>
      <c r="G87" s="25" t="s">
        <v>186</v>
      </c>
      <c r="H87" s="25">
        <v>0.43159999999999998</v>
      </c>
      <c r="I87" s="25">
        <v>0</v>
      </c>
      <c r="J87" s="25">
        <v>0</v>
      </c>
      <c r="K87" s="25">
        <v>1</v>
      </c>
      <c r="L87" s="78"/>
      <c r="M87" s="64"/>
      <c r="N87" s="74"/>
      <c r="O87" s="64"/>
      <c r="P87" s="64"/>
      <c r="Q87" s="64"/>
      <c r="R87" s="64"/>
      <c r="S87" s="64"/>
    </row>
    <row r="88" spans="1:19">
      <c r="A88" s="69">
        <v>18</v>
      </c>
      <c r="B88" s="69" t="s">
        <v>14</v>
      </c>
      <c r="C88" s="65" t="s">
        <v>25</v>
      </c>
      <c r="D88" s="57" t="s">
        <v>48</v>
      </c>
      <c r="E88" s="48"/>
      <c r="F88" s="57" t="s">
        <v>187</v>
      </c>
      <c r="G88" s="26" t="s">
        <v>188</v>
      </c>
      <c r="H88" s="26">
        <v>0.28489999999999999</v>
      </c>
      <c r="I88" s="26">
        <v>1</v>
      </c>
      <c r="J88" s="26">
        <v>1</v>
      </c>
      <c r="K88" s="26">
        <v>1</v>
      </c>
      <c r="L88" s="68">
        <v>1</v>
      </c>
      <c r="M88" s="63">
        <v>2</v>
      </c>
      <c r="N88" s="69">
        <v>2</v>
      </c>
      <c r="O88" s="63">
        <v>3</v>
      </c>
      <c r="P88" s="63">
        <v>2</v>
      </c>
      <c r="Q88" s="63">
        <v>31.04</v>
      </c>
      <c r="R88" s="63">
        <v>0.88400000000000001</v>
      </c>
      <c r="S88" s="63">
        <v>0</v>
      </c>
    </row>
    <row r="89" spans="1:19">
      <c r="A89" s="70"/>
      <c r="B89" s="70"/>
      <c r="C89" s="66"/>
      <c r="D89" s="58"/>
      <c r="E89" s="49"/>
      <c r="F89" s="58"/>
      <c r="G89" s="26" t="s">
        <v>189</v>
      </c>
      <c r="H89" s="26">
        <v>0.29020000000000001</v>
      </c>
      <c r="I89" s="26">
        <v>1</v>
      </c>
      <c r="J89" s="26">
        <v>1</v>
      </c>
      <c r="K89" s="26">
        <v>1</v>
      </c>
      <c r="L89" s="68"/>
      <c r="M89" s="63"/>
      <c r="N89" s="70"/>
      <c r="O89" s="63"/>
      <c r="P89" s="63"/>
      <c r="Q89" s="63"/>
      <c r="R89" s="63"/>
      <c r="S89" s="63"/>
    </row>
    <row r="90" spans="1:19">
      <c r="A90" s="70"/>
      <c r="B90" s="70"/>
      <c r="C90" s="66"/>
      <c r="D90" s="58"/>
      <c r="E90" s="49"/>
      <c r="F90" s="58"/>
      <c r="G90" s="26" t="s">
        <v>190</v>
      </c>
      <c r="H90" s="26">
        <v>0.29509999999999997</v>
      </c>
      <c r="I90" s="26">
        <v>1</v>
      </c>
      <c r="J90" s="26">
        <v>1</v>
      </c>
      <c r="K90" s="26">
        <v>1</v>
      </c>
      <c r="L90" s="68"/>
      <c r="M90" s="63"/>
      <c r="N90" s="70"/>
      <c r="O90" s="63"/>
      <c r="P90" s="63"/>
      <c r="Q90" s="63"/>
      <c r="R90" s="63"/>
      <c r="S90" s="63"/>
    </row>
    <row r="91" spans="1:19">
      <c r="A91" s="70"/>
      <c r="B91" s="70"/>
      <c r="C91" s="66"/>
      <c r="D91" s="58"/>
      <c r="E91" s="49"/>
      <c r="F91" s="58"/>
      <c r="G91" s="26" t="s">
        <v>191</v>
      </c>
      <c r="H91" s="26">
        <v>0.30530000000000002</v>
      </c>
      <c r="I91" s="26">
        <v>0</v>
      </c>
      <c r="J91" s="26">
        <v>1</v>
      </c>
      <c r="K91" s="26">
        <v>1</v>
      </c>
      <c r="L91" s="68"/>
      <c r="M91" s="63"/>
      <c r="N91" s="70"/>
      <c r="O91" s="63"/>
      <c r="P91" s="63"/>
      <c r="Q91" s="63"/>
      <c r="R91" s="63"/>
      <c r="S91" s="63"/>
    </row>
    <row r="92" spans="1:19">
      <c r="A92" s="71"/>
      <c r="B92" s="71"/>
      <c r="C92" s="67"/>
      <c r="D92" s="59"/>
      <c r="E92" s="50"/>
      <c r="F92" s="59"/>
      <c r="G92" s="26" t="s">
        <v>192</v>
      </c>
      <c r="H92" s="26">
        <v>0.317</v>
      </c>
      <c r="I92" s="26">
        <v>0</v>
      </c>
      <c r="J92" s="26">
        <v>1</v>
      </c>
      <c r="K92" s="26">
        <v>1</v>
      </c>
      <c r="L92" s="68"/>
      <c r="M92" s="63"/>
      <c r="N92" s="71"/>
      <c r="O92" s="63"/>
      <c r="P92" s="63"/>
      <c r="Q92" s="63"/>
      <c r="R92" s="63"/>
      <c r="S92" s="63"/>
    </row>
    <row r="93" spans="1:19">
      <c r="A93" s="72">
        <v>19</v>
      </c>
      <c r="B93" s="72" t="s">
        <v>14</v>
      </c>
      <c r="C93" s="75" t="s">
        <v>25</v>
      </c>
      <c r="D93" s="60" t="s">
        <v>51</v>
      </c>
      <c r="E93" s="51"/>
      <c r="F93" s="60" t="s">
        <v>199</v>
      </c>
      <c r="G93" s="25" t="s">
        <v>194</v>
      </c>
      <c r="H93" s="25">
        <v>0.44879999999999998</v>
      </c>
      <c r="I93" s="25">
        <v>0</v>
      </c>
      <c r="J93" s="25">
        <v>0</v>
      </c>
      <c r="K93" s="25">
        <v>1</v>
      </c>
      <c r="L93" s="78">
        <v>0</v>
      </c>
      <c r="M93" s="64">
        <v>3</v>
      </c>
      <c r="N93" s="72">
        <v>2</v>
      </c>
      <c r="O93" s="64">
        <v>3</v>
      </c>
      <c r="P93" s="64">
        <v>2</v>
      </c>
      <c r="Q93" s="64">
        <v>64.897000000000006</v>
      </c>
      <c r="R93" s="64">
        <v>0.56899999999999995</v>
      </c>
      <c r="S93" s="64">
        <v>0</v>
      </c>
    </row>
    <row r="94" spans="1:19">
      <c r="A94" s="73"/>
      <c r="B94" s="73"/>
      <c r="C94" s="76"/>
      <c r="D94" s="61"/>
      <c r="E94" s="52"/>
      <c r="F94" s="61"/>
      <c r="G94" s="25" t="s">
        <v>195</v>
      </c>
      <c r="H94" s="25">
        <v>0.46329999999999999</v>
      </c>
      <c r="I94" s="25">
        <v>0</v>
      </c>
      <c r="J94" s="25">
        <v>0</v>
      </c>
      <c r="K94" s="25">
        <v>1</v>
      </c>
      <c r="L94" s="78"/>
      <c r="M94" s="64"/>
      <c r="N94" s="73"/>
      <c r="O94" s="64"/>
      <c r="P94" s="64"/>
      <c r="Q94" s="64"/>
      <c r="R94" s="64"/>
      <c r="S94" s="64"/>
    </row>
    <row r="95" spans="1:19">
      <c r="A95" s="73"/>
      <c r="B95" s="73"/>
      <c r="C95" s="76"/>
      <c r="D95" s="61"/>
      <c r="E95" s="52"/>
      <c r="F95" s="61"/>
      <c r="G95" s="25" t="s">
        <v>196</v>
      </c>
      <c r="H95" s="25">
        <v>0.46589999999999998</v>
      </c>
      <c r="I95" s="25">
        <v>0</v>
      </c>
      <c r="J95" s="25">
        <v>0</v>
      </c>
      <c r="K95" s="25">
        <v>1</v>
      </c>
      <c r="L95" s="78"/>
      <c r="M95" s="64"/>
      <c r="N95" s="73"/>
      <c r="O95" s="64"/>
      <c r="P95" s="64"/>
      <c r="Q95" s="64"/>
      <c r="R95" s="64"/>
      <c r="S95" s="64"/>
    </row>
    <row r="96" spans="1:19">
      <c r="A96" s="73"/>
      <c r="B96" s="73"/>
      <c r="C96" s="76"/>
      <c r="D96" s="61"/>
      <c r="E96" s="52"/>
      <c r="F96" s="61"/>
      <c r="G96" s="25" t="s">
        <v>197</v>
      </c>
      <c r="H96" s="25">
        <v>0.47249999999999998</v>
      </c>
      <c r="I96" s="25">
        <v>0</v>
      </c>
      <c r="J96" s="25">
        <v>0</v>
      </c>
      <c r="K96" s="25">
        <v>1</v>
      </c>
      <c r="L96" s="78"/>
      <c r="M96" s="64"/>
      <c r="N96" s="73"/>
      <c r="O96" s="64"/>
      <c r="P96" s="64"/>
      <c r="Q96" s="64"/>
      <c r="R96" s="64"/>
      <c r="S96" s="64"/>
    </row>
    <row r="97" spans="1:19">
      <c r="A97" s="74"/>
      <c r="B97" s="74"/>
      <c r="C97" s="77"/>
      <c r="D97" s="62"/>
      <c r="E97" s="53"/>
      <c r="F97" s="62"/>
      <c r="G97" s="25" t="s">
        <v>198</v>
      </c>
      <c r="H97" s="25">
        <v>0.48309999999999997</v>
      </c>
      <c r="I97" s="25">
        <v>0</v>
      </c>
      <c r="J97" s="25">
        <v>0</v>
      </c>
      <c r="K97" s="25">
        <v>1</v>
      </c>
      <c r="L97" s="78"/>
      <c r="M97" s="64"/>
      <c r="N97" s="74"/>
      <c r="O97" s="64"/>
      <c r="P97" s="64"/>
      <c r="Q97" s="64"/>
      <c r="R97" s="64"/>
      <c r="S97" s="64"/>
    </row>
    <row r="98" spans="1:19">
      <c r="A98" s="69">
        <v>20</v>
      </c>
      <c r="B98" s="69" t="s">
        <v>14</v>
      </c>
      <c r="C98" s="65" t="s">
        <v>25</v>
      </c>
      <c r="D98" s="57" t="s">
        <v>52</v>
      </c>
      <c r="E98" s="48"/>
      <c r="F98" s="57" t="s">
        <v>205</v>
      </c>
      <c r="G98" s="26" t="s">
        <v>200</v>
      </c>
      <c r="H98" s="26">
        <v>0.42199999999999999</v>
      </c>
      <c r="I98" s="26">
        <v>0</v>
      </c>
      <c r="J98" s="26">
        <v>0</v>
      </c>
      <c r="K98" s="26">
        <v>1</v>
      </c>
      <c r="L98" s="68">
        <v>0</v>
      </c>
      <c r="M98" s="63">
        <v>3</v>
      </c>
      <c r="N98" s="69">
        <v>2</v>
      </c>
      <c r="O98" s="63">
        <v>3</v>
      </c>
      <c r="P98" s="63">
        <v>2</v>
      </c>
      <c r="Q98" s="63">
        <v>65.900000000000006</v>
      </c>
      <c r="R98" s="63">
        <v>0.623</v>
      </c>
      <c r="S98" s="63">
        <v>0</v>
      </c>
    </row>
    <row r="99" spans="1:19">
      <c r="A99" s="70"/>
      <c r="B99" s="70"/>
      <c r="C99" s="66"/>
      <c r="D99" s="58"/>
      <c r="E99" s="49"/>
      <c r="F99" s="58"/>
      <c r="G99" s="26" t="s">
        <v>201</v>
      </c>
      <c r="H99" s="26">
        <v>0.45540000000000003</v>
      </c>
      <c r="I99" s="26">
        <v>0</v>
      </c>
      <c r="J99" s="26">
        <v>0</v>
      </c>
      <c r="K99" s="26">
        <v>1</v>
      </c>
      <c r="L99" s="68"/>
      <c r="M99" s="63"/>
      <c r="N99" s="70"/>
      <c r="O99" s="63"/>
      <c r="P99" s="63"/>
      <c r="Q99" s="63"/>
      <c r="R99" s="63"/>
      <c r="S99" s="63"/>
    </row>
    <row r="100" spans="1:19">
      <c r="A100" s="70"/>
      <c r="B100" s="70"/>
      <c r="C100" s="66"/>
      <c r="D100" s="58"/>
      <c r="E100" s="49"/>
      <c r="F100" s="58"/>
      <c r="G100" s="26" t="s">
        <v>202</v>
      </c>
      <c r="H100" s="26">
        <v>0.47760000000000002</v>
      </c>
      <c r="I100" s="26">
        <v>0</v>
      </c>
      <c r="J100" s="26">
        <v>0</v>
      </c>
      <c r="K100" s="26">
        <v>1</v>
      </c>
      <c r="L100" s="68"/>
      <c r="M100" s="63"/>
      <c r="N100" s="70"/>
      <c r="O100" s="63"/>
      <c r="P100" s="63"/>
      <c r="Q100" s="63"/>
      <c r="R100" s="63"/>
      <c r="S100" s="63"/>
    </row>
    <row r="101" spans="1:19">
      <c r="A101" s="70"/>
      <c r="B101" s="70"/>
      <c r="C101" s="66"/>
      <c r="D101" s="58"/>
      <c r="E101" s="49"/>
      <c r="F101" s="58"/>
      <c r="G101" s="26" t="s">
        <v>204</v>
      </c>
      <c r="H101" s="26">
        <v>0.48020000000000002</v>
      </c>
      <c r="I101" s="26">
        <v>0</v>
      </c>
      <c r="J101" s="26">
        <v>0</v>
      </c>
      <c r="K101" s="26">
        <v>1</v>
      </c>
      <c r="L101" s="68"/>
      <c r="M101" s="63"/>
      <c r="N101" s="70"/>
      <c r="O101" s="63"/>
      <c r="P101" s="63"/>
      <c r="Q101" s="63"/>
      <c r="R101" s="63"/>
      <c r="S101" s="63"/>
    </row>
    <row r="102" spans="1:19">
      <c r="A102" s="71"/>
      <c r="B102" s="71"/>
      <c r="C102" s="67"/>
      <c r="D102" s="59"/>
      <c r="E102" s="50"/>
      <c r="F102" s="59"/>
      <c r="G102" s="26" t="s">
        <v>203</v>
      </c>
      <c r="H102" s="26">
        <v>0.48280000000000001</v>
      </c>
      <c r="I102" s="26">
        <v>0</v>
      </c>
      <c r="J102" s="26">
        <v>0</v>
      </c>
      <c r="K102" s="26">
        <v>1</v>
      </c>
      <c r="L102" s="68"/>
      <c r="M102" s="63"/>
      <c r="N102" s="71"/>
      <c r="O102" s="63"/>
      <c r="P102" s="63"/>
      <c r="Q102" s="63"/>
      <c r="R102" s="63"/>
      <c r="S102" s="63"/>
    </row>
    <row r="103" spans="1:19">
      <c r="A103" s="72">
        <v>21</v>
      </c>
      <c r="B103" s="72" t="s">
        <v>14</v>
      </c>
      <c r="C103" s="75" t="s">
        <v>32</v>
      </c>
      <c r="D103" s="60" t="s">
        <v>29</v>
      </c>
      <c r="E103" s="51"/>
      <c r="F103" s="60" t="s">
        <v>211</v>
      </c>
      <c r="G103" s="25" t="s">
        <v>206</v>
      </c>
      <c r="H103" s="25">
        <v>0.2994</v>
      </c>
      <c r="I103" s="25">
        <v>1</v>
      </c>
      <c r="J103" s="25">
        <v>1</v>
      </c>
      <c r="K103" s="25">
        <v>1</v>
      </c>
      <c r="L103" s="78">
        <v>1</v>
      </c>
      <c r="M103" s="64">
        <v>3</v>
      </c>
      <c r="N103" s="72">
        <v>3</v>
      </c>
      <c r="O103" s="64">
        <v>3</v>
      </c>
      <c r="P103" s="64">
        <v>2</v>
      </c>
      <c r="Q103" s="64">
        <v>34.148000000000003</v>
      </c>
      <c r="R103" s="64">
        <v>0.69750000000000001</v>
      </c>
      <c r="S103" s="64">
        <v>0</v>
      </c>
    </row>
    <row r="104" spans="1:19">
      <c r="A104" s="73"/>
      <c r="B104" s="73"/>
      <c r="C104" s="76"/>
      <c r="D104" s="61"/>
      <c r="E104" s="52"/>
      <c r="F104" s="61"/>
      <c r="G104" s="25" t="s">
        <v>210</v>
      </c>
      <c r="H104" s="25">
        <v>0.30059999999999998</v>
      </c>
      <c r="I104" s="25">
        <v>1</v>
      </c>
      <c r="J104" s="25">
        <v>1</v>
      </c>
      <c r="K104" s="25">
        <v>1</v>
      </c>
      <c r="L104" s="78"/>
      <c r="M104" s="64"/>
      <c r="N104" s="73"/>
      <c r="O104" s="64"/>
      <c r="P104" s="64"/>
      <c r="Q104" s="64"/>
      <c r="R104" s="64"/>
      <c r="S104" s="64"/>
    </row>
    <row r="105" spans="1:19">
      <c r="A105" s="73"/>
      <c r="B105" s="73"/>
      <c r="C105" s="76"/>
      <c r="D105" s="61"/>
      <c r="E105" s="52"/>
      <c r="F105" s="61"/>
      <c r="G105" s="25" t="s">
        <v>209</v>
      </c>
      <c r="H105" s="25">
        <v>0.31330000000000002</v>
      </c>
      <c r="I105" s="25">
        <v>0</v>
      </c>
      <c r="J105" s="25">
        <v>1</v>
      </c>
      <c r="K105" s="25">
        <v>1</v>
      </c>
      <c r="L105" s="78"/>
      <c r="M105" s="64"/>
      <c r="N105" s="73"/>
      <c r="O105" s="64"/>
      <c r="P105" s="64"/>
      <c r="Q105" s="64"/>
      <c r="R105" s="64"/>
      <c r="S105" s="64"/>
    </row>
    <row r="106" spans="1:19">
      <c r="A106" s="73"/>
      <c r="B106" s="73"/>
      <c r="C106" s="76"/>
      <c r="D106" s="61"/>
      <c r="E106" s="52"/>
      <c r="F106" s="61"/>
      <c r="G106" s="25" t="s">
        <v>208</v>
      </c>
      <c r="H106" s="25">
        <v>0.3327</v>
      </c>
      <c r="I106" s="25">
        <v>0</v>
      </c>
      <c r="J106" s="25">
        <v>1</v>
      </c>
      <c r="K106" s="25">
        <v>1</v>
      </c>
      <c r="L106" s="78"/>
      <c r="M106" s="64"/>
      <c r="N106" s="73"/>
      <c r="O106" s="64"/>
      <c r="P106" s="64"/>
      <c r="Q106" s="64"/>
      <c r="R106" s="64"/>
      <c r="S106" s="64"/>
    </row>
    <row r="107" spans="1:19">
      <c r="A107" s="74"/>
      <c r="B107" s="74"/>
      <c r="C107" s="77"/>
      <c r="D107" s="62"/>
      <c r="E107" s="53"/>
      <c r="F107" s="62"/>
      <c r="G107" s="25" t="s">
        <v>207</v>
      </c>
      <c r="H107" s="25">
        <v>0.34870000000000001</v>
      </c>
      <c r="I107" s="25">
        <v>0</v>
      </c>
      <c r="J107" s="25">
        <v>1</v>
      </c>
      <c r="K107" s="25">
        <v>1</v>
      </c>
      <c r="L107" s="78"/>
      <c r="M107" s="64"/>
      <c r="N107" s="74"/>
      <c r="O107" s="64"/>
      <c r="P107" s="64"/>
      <c r="Q107" s="64"/>
      <c r="R107" s="64"/>
      <c r="S107" s="64"/>
    </row>
    <row r="108" spans="1:19">
      <c r="A108" s="69">
        <v>22</v>
      </c>
      <c r="B108" s="69" t="s">
        <v>14</v>
      </c>
      <c r="C108" s="65" t="s">
        <v>32</v>
      </c>
      <c r="D108" s="57" t="s">
        <v>53</v>
      </c>
      <c r="E108" s="48"/>
      <c r="F108" s="57" t="s">
        <v>212</v>
      </c>
      <c r="G108" s="26" t="s">
        <v>216</v>
      </c>
      <c r="H108" s="26">
        <v>0.36159999999999998</v>
      </c>
      <c r="I108" s="26">
        <v>0</v>
      </c>
      <c r="J108" s="26">
        <v>1</v>
      </c>
      <c r="K108" s="26">
        <v>1</v>
      </c>
      <c r="L108" s="68">
        <v>1</v>
      </c>
      <c r="M108" s="63">
        <v>3</v>
      </c>
      <c r="N108" s="69">
        <v>2</v>
      </c>
      <c r="O108" s="63">
        <v>3</v>
      </c>
      <c r="P108" s="63">
        <v>2</v>
      </c>
      <c r="Q108" s="79">
        <v>31.850999999999999</v>
      </c>
      <c r="R108" s="63">
        <v>0.6</v>
      </c>
      <c r="S108" s="63">
        <v>0</v>
      </c>
    </row>
    <row r="109" spans="1:19">
      <c r="A109" s="70"/>
      <c r="B109" s="70"/>
      <c r="C109" s="66"/>
      <c r="D109" s="58"/>
      <c r="E109" s="49"/>
      <c r="F109" s="58"/>
      <c r="G109" s="26" t="s">
        <v>215</v>
      </c>
      <c r="H109" s="26">
        <v>0.3841</v>
      </c>
      <c r="I109" s="26">
        <v>0</v>
      </c>
      <c r="J109" s="26">
        <v>1</v>
      </c>
      <c r="K109" s="26">
        <v>1</v>
      </c>
      <c r="L109" s="68"/>
      <c r="M109" s="63"/>
      <c r="N109" s="70"/>
      <c r="O109" s="63"/>
      <c r="P109" s="63"/>
      <c r="Q109" s="79"/>
      <c r="R109" s="63"/>
      <c r="S109" s="63"/>
    </row>
    <row r="110" spans="1:19">
      <c r="A110" s="70"/>
      <c r="B110" s="70"/>
      <c r="C110" s="66"/>
      <c r="D110" s="58"/>
      <c r="E110" s="49"/>
      <c r="F110" s="58"/>
      <c r="G110" s="26" t="s">
        <v>160</v>
      </c>
      <c r="H110" s="26">
        <v>0.38890000000000002</v>
      </c>
      <c r="I110" s="26">
        <v>0</v>
      </c>
      <c r="J110" s="26">
        <v>1</v>
      </c>
      <c r="K110" s="26">
        <v>1</v>
      </c>
      <c r="L110" s="68"/>
      <c r="M110" s="63"/>
      <c r="N110" s="70"/>
      <c r="O110" s="63"/>
      <c r="P110" s="63"/>
      <c r="Q110" s="79"/>
      <c r="R110" s="63"/>
      <c r="S110" s="63"/>
    </row>
    <row r="111" spans="1:19">
      <c r="A111" s="70"/>
      <c r="B111" s="70"/>
      <c r="C111" s="66"/>
      <c r="D111" s="58"/>
      <c r="E111" s="49"/>
      <c r="F111" s="58"/>
      <c r="G111" s="26" t="s">
        <v>214</v>
      </c>
      <c r="H111" s="26">
        <v>0.39429999999999998</v>
      </c>
      <c r="I111" s="26">
        <v>0</v>
      </c>
      <c r="J111" s="26">
        <v>1</v>
      </c>
      <c r="K111" s="26">
        <v>1</v>
      </c>
      <c r="L111" s="68"/>
      <c r="M111" s="63"/>
      <c r="N111" s="70"/>
      <c r="O111" s="63"/>
      <c r="P111" s="63"/>
      <c r="Q111" s="79"/>
      <c r="R111" s="63"/>
      <c r="S111" s="63"/>
    </row>
    <row r="112" spans="1:19">
      <c r="A112" s="71"/>
      <c r="B112" s="71"/>
      <c r="C112" s="67"/>
      <c r="D112" s="59"/>
      <c r="E112" s="50"/>
      <c r="F112" s="59"/>
      <c r="G112" s="26" t="s">
        <v>213</v>
      </c>
      <c r="H112" s="26">
        <v>0.39879999999999999</v>
      </c>
      <c r="I112" s="26">
        <v>0</v>
      </c>
      <c r="J112" s="26">
        <v>1</v>
      </c>
      <c r="K112" s="26">
        <v>1</v>
      </c>
      <c r="L112" s="68"/>
      <c r="M112" s="63"/>
      <c r="N112" s="71"/>
      <c r="O112" s="63"/>
      <c r="P112" s="63"/>
      <c r="Q112" s="79"/>
      <c r="R112" s="63"/>
      <c r="S112" s="63"/>
    </row>
    <row r="113" spans="1:19">
      <c r="A113" s="72">
        <v>23</v>
      </c>
      <c r="B113" s="72" t="s">
        <v>14</v>
      </c>
      <c r="C113" s="75" t="s">
        <v>32</v>
      </c>
      <c r="D113" s="60" t="s">
        <v>54</v>
      </c>
      <c r="E113" s="51"/>
      <c r="F113" s="60" t="s">
        <v>220</v>
      </c>
      <c r="G113" s="25" t="s">
        <v>225</v>
      </c>
      <c r="H113" s="25">
        <v>0.31430000000000002</v>
      </c>
      <c r="I113" s="25">
        <v>0</v>
      </c>
      <c r="J113" s="25">
        <v>1</v>
      </c>
      <c r="K113" s="25">
        <v>1</v>
      </c>
      <c r="L113" s="78">
        <v>1</v>
      </c>
      <c r="M113" s="64">
        <v>3</v>
      </c>
      <c r="N113" s="72">
        <v>2</v>
      </c>
      <c r="O113" s="64">
        <v>3</v>
      </c>
      <c r="P113" s="64">
        <v>2</v>
      </c>
      <c r="Q113" s="64">
        <v>32.119999999999997</v>
      </c>
      <c r="R113" s="64">
        <v>1.1879999999999999</v>
      </c>
      <c r="S113" s="64">
        <v>0</v>
      </c>
    </row>
    <row r="114" spans="1:19">
      <c r="A114" s="73"/>
      <c r="B114" s="73"/>
      <c r="C114" s="76"/>
      <c r="D114" s="61"/>
      <c r="E114" s="52"/>
      <c r="F114" s="61"/>
      <c r="G114" s="25" t="s">
        <v>224</v>
      </c>
      <c r="H114" s="25">
        <v>0.33700000000000002</v>
      </c>
      <c r="I114" s="25">
        <v>0</v>
      </c>
      <c r="J114" s="25">
        <v>1</v>
      </c>
      <c r="K114" s="25">
        <v>1</v>
      </c>
      <c r="L114" s="78"/>
      <c r="M114" s="64"/>
      <c r="N114" s="73"/>
      <c r="O114" s="64"/>
      <c r="P114" s="64"/>
      <c r="Q114" s="64"/>
      <c r="R114" s="64"/>
      <c r="S114" s="64"/>
    </row>
    <row r="115" spans="1:19">
      <c r="A115" s="73"/>
      <c r="B115" s="73"/>
      <c r="C115" s="76"/>
      <c r="D115" s="61"/>
      <c r="E115" s="52"/>
      <c r="F115" s="61"/>
      <c r="G115" s="25" t="s">
        <v>223</v>
      </c>
      <c r="H115" s="25">
        <v>0.36199999999999999</v>
      </c>
      <c r="I115" s="25">
        <v>0</v>
      </c>
      <c r="J115" s="25">
        <v>1</v>
      </c>
      <c r="K115" s="25">
        <v>1</v>
      </c>
      <c r="L115" s="78"/>
      <c r="M115" s="64"/>
      <c r="N115" s="73"/>
      <c r="O115" s="64"/>
      <c r="P115" s="64"/>
      <c r="Q115" s="64"/>
      <c r="R115" s="64"/>
      <c r="S115" s="64"/>
    </row>
    <row r="116" spans="1:19">
      <c r="A116" s="73"/>
      <c r="B116" s="73"/>
      <c r="C116" s="76"/>
      <c r="D116" s="61"/>
      <c r="E116" s="52"/>
      <c r="F116" s="61"/>
      <c r="G116" s="25" t="s">
        <v>222</v>
      </c>
      <c r="H116" s="25">
        <v>0.36309999999999998</v>
      </c>
      <c r="I116" s="25">
        <v>0</v>
      </c>
      <c r="J116" s="25">
        <v>1</v>
      </c>
      <c r="K116" s="25">
        <v>1</v>
      </c>
      <c r="L116" s="78"/>
      <c r="M116" s="64"/>
      <c r="N116" s="73"/>
      <c r="O116" s="64"/>
      <c r="P116" s="64"/>
      <c r="Q116" s="64"/>
      <c r="R116" s="64"/>
      <c r="S116" s="64"/>
    </row>
    <row r="117" spans="1:19">
      <c r="A117" s="74"/>
      <c r="B117" s="74"/>
      <c r="C117" s="77"/>
      <c r="D117" s="62"/>
      <c r="E117" s="53"/>
      <c r="F117" s="62"/>
      <c r="G117" s="25" t="s">
        <v>221</v>
      </c>
      <c r="H117" s="25">
        <v>0.36969999999999997</v>
      </c>
      <c r="I117" s="25">
        <v>0</v>
      </c>
      <c r="J117" s="25">
        <v>1</v>
      </c>
      <c r="K117" s="25">
        <v>1</v>
      </c>
      <c r="L117" s="78"/>
      <c r="M117" s="64"/>
      <c r="N117" s="74"/>
      <c r="O117" s="64"/>
      <c r="P117" s="64"/>
      <c r="Q117" s="64"/>
      <c r="R117" s="64"/>
      <c r="S117" s="64"/>
    </row>
    <row r="118" spans="1:19">
      <c r="A118" s="69">
        <v>24</v>
      </c>
      <c r="B118" s="69" t="s">
        <v>14</v>
      </c>
      <c r="C118" s="65" t="s">
        <v>32</v>
      </c>
      <c r="D118" s="57" t="s">
        <v>55</v>
      </c>
      <c r="E118" s="48"/>
      <c r="F118" s="57" t="s">
        <v>227</v>
      </c>
      <c r="G118" s="26" t="s">
        <v>176</v>
      </c>
      <c r="H118" s="26">
        <v>0.4672</v>
      </c>
      <c r="I118" s="26">
        <v>0</v>
      </c>
      <c r="J118" s="26">
        <v>0</v>
      </c>
      <c r="K118" s="26">
        <v>1</v>
      </c>
      <c r="L118" s="68">
        <v>0</v>
      </c>
      <c r="M118" s="63">
        <v>3</v>
      </c>
      <c r="N118" s="69">
        <v>2</v>
      </c>
      <c r="O118" s="63">
        <v>3</v>
      </c>
      <c r="P118" s="63">
        <v>2</v>
      </c>
      <c r="Q118" s="63">
        <v>26.03</v>
      </c>
      <c r="R118" s="63">
        <v>0.59</v>
      </c>
      <c r="S118" s="63">
        <v>0</v>
      </c>
    </row>
    <row r="119" spans="1:19">
      <c r="A119" s="70"/>
      <c r="B119" s="70"/>
      <c r="C119" s="66"/>
      <c r="D119" s="58"/>
      <c r="E119" s="49"/>
      <c r="F119" s="58"/>
      <c r="G119" t="s">
        <v>175</v>
      </c>
      <c r="H119" s="26">
        <v>0.47070000000000001</v>
      </c>
      <c r="I119" s="26">
        <v>0</v>
      </c>
      <c r="J119" s="26">
        <v>0</v>
      </c>
      <c r="K119" s="26">
        <v>1</v>
      </c>
      <c r="L119" s="68"/>
      <c r="M119" s="63"/>
      <c r="N119" s="70"/>
      <c r="O119" s="63"/>
      <c r="P119" s="63"/>
      <c r="Q119" s="63"/>
      <c r="R119" s="63"/>
      <c r="S119" s="63"/>
    </row>
    <row r="120" spans="1:19">
      <c r="A120" s="70"/>
      <c r="B120" s="70"/>
      <c r="C120" s="66"/>
      <c r="D120" s="58"/>
      <c r="E120" s="49"/>
      <c r="F120" s="58"/>
      <c r="G120" s="26" t="s">
        <v>70</v>
      </c>
      <c r="H120" s="26">
        <v>0.4753</v>
      </c>
      <c r="I120" s="26">
        <v>0</v>
      </c>
      <c r="J120" s="26">
        <v>0</v>
      </c>
      <c r="K120" s="26">
        <v>1</v>
      </c>
      <c r="L120" s="68"/>
      <c r="M120" s="63"/>
      <c r="N120" s="70"/>
      <c r="O120" s="63"/>
      <c r="P120" s="63"/>
      <c r="Q120" s="63"/>
      <c r="R120" s="63"/>
      <c r="S120" s="63"/>
    </row>
    <row r="121" spans="1:19">
      <c r="A121" s="70"/>
      <c r="B121" s="70"/>
      <c r="C121" s="66"/>
      <c r="D121" s="58"/>
      <c r="E121" s="49"/>
      <c r="F121" s="58"/>
      <c r="G121" s="26" t="s">
        <v>226</v>
      </c>
      <c r="H121" s="26">
        <v>0.47870000000000001</v>
      </c>
      <c r="I121" s="26">
        <v>0</v>
      </c>
      <c r="J121" s="26">
        <v>0</v>
      </c>
      <c r="K121" s="26">
        <v>1</v>
      </c>
      <c r="L121" s="68"/>
      <c r="M121" s="63"/>
      <c r="N121" s="70"/>
      <c r="O121" s="63"/>
      <c r="P121" s="63"/>
      <c r="Q121" s="63"/>
      <c r="R121" s="63"/>
      <c r="S121" s="63"/>
    </row>
    <row r="122" spans="1:19">
      <c r="A122" s="71"/>
      <c r="B122" s="71"/>
      <c r="C122" s="67"/>
      <c r="D122" s="59"/>
      <c r="E122" s="50"/>
      <c r="F122" s="59"/>
      <c r="G122" s="26" t="s">
        <v>174</v>
      </c>
      <c r="H122" s="26">
        <v>0.4854</v>
      </c>
      <c r="I122" s="26">
        <v>0</v>
      </c>
      <c r="J122" s="26">
        <v>0</v>
      </c>
      <c r="K122" s="26">
        <v>1</v>
      </c>
      <c r="L122" s="68"/>
      <c r="M122" s="63"/>
      <c r="N122" s="71"/>
      <c r="O122" s="63"/>
      <c r="P122" s="63"/>
      <c r="Q122" s="63"/>
      <c r="R122" s="63"/>
      <c r="S122" s="63"/>
    </row>
    <row r="123" spans="1:19">
      <c r="A123" s="72">
        <v>25</v>
      </c>
      <c r="B123" s="72" t="s">
        <v>14</v>
      </c>
      <c r="C123" s="75" t="s">
        <v>32</v>
      </c>
      <c r="D123" s="60" t="s">
        <v>56</v>
      </c>
      <c r="E123" s="51"/>
      <c r="F123" s="60" t="s">
        <v>228</v>
      </c>
      <c r="G123" s="25" t="s">
        <v>232</v>
      </c>
      <c r="H123" s="25">
        <v>0.30209999999999998</v>
      </c>
      <c r="I123" s="25">
        <v>1</v>
      </c>
      <c r="J123" s="25">
        <v>1</v>
      </c>
      <c r="K123" s="25">
        <v>1</v>
      </c>
      <c r="L123" s="78">
        <v>1</v>
      </c>
      <c r="M123" s="64">
        <v>3</v>
      </c>
      <c r="N123" s="72">
        <v>2</v>
      </c>
      <c r="O123" s="64">
        <v>3</v>
      </c>
      <c r="P123" s="64">
        <v>2</v>
      </c>
      <c r="Q123" s="64">
        <v>87.23</v>
      </c>
      <c r="R123" s="64">
        <v>0.61599999999999999</v>
      </c>
      <c r="S123" s="64">
        <v>0</v>
      </c>
    </row>
    <row r="124" spans="1:19">
      <c r="A124" s="73"/>
      <c r="B124" s="73"/>
      <c r="C124" s="76"/>
      <c r="D124" s="61"/>
      <c r="E124" s="52"/>
      <c r="F124" s="61"/>
      <c r="G124" s="25" t="s">
        <v>231</v>
      </c>
      <c r="H124" s="25">
        <v>0.30459999999999998</v>
      </c>
      <c r="I124" s="25">
        <v>1</v>
      </c>
      <c r="J124" s="25">
        <v>1</v>
      </c>
      <c r="K124" s="25">
        <v>1</v>
      </c>
      <c r="L124" s="78"/>
      <c r="M124" s="64"/>
      <c r="N124" s="73"/>
      <c r="O124" s="64"/>
      <c r="P124" s="64"/>
      <c r="Q124" s="64"/>
      <c r="R124" s="64"/>
      <c r="S124" s="64"/>
    </row>
    <row r="125" spans="1:19">
      <c r="A125" s="73"/>
      <c r="B125" s="73"/>
      <c r="C125" s="76"/>
      <c r="D125" s="61"/>
      <c r="E125" s="52"/>
      <c r="F125" s="61"/>
      <c r="G125" s="25" t="s">
        <v>172</v>
      </c>
      <c r="H125" s="25">
        <v>0.35909999999999997</v>
      </c>
      <c r="I125" s="25">
        <v>0</v>
      </c>
      <c r="J125" s="25">
        <v>1</v>
      </c>
      <c r="K125" s="25">
        <v>1</v>
      </c>
      <c r="L125" s="78"/>
      <c r="M125" s="64"/>
      <c r="N125" s="73"/>
      <c r="O125" s="64"/>
      <c r="P125" s="64"/>
      <c r="Q125" s="64"/>
      <c r="R125" s="64"/>
      <c r="S125" s="64"/>
    </row>
    <row r="126" spans="1:19">
      <c r="A126" s="73"/>
      <c r="B126" s="73"/>
      <c r="C126" s="76"/>
      <c r="D126" s="61"/>
      <c r="E126" s="52"/>
      <c r="F126" s="61"/>
      <c r="G126" s="25" t="s">
        <v>230</v>
      </c>
      <c r="H126" s="25">
        <v>0.36480000000000001</v>
      </c>
      <c r="I126" s="25">
        <v>0</v>
      </c>
      <c r="J126" s="25">
        <v>1</v>
      </c>
      <c r="K126" s="25">
        <v>1</v>
      </c>
      <c r="L126" s="78"/>
      <c r="M126" s="64"/>
      <c r="N126" s="73"/>
      <c r="O126" s="64"/>
      <c r="P126" s="64"/>
      <c r="Q126" s="64"/>
      <c r="R126" s="64"/>
      <c r="S126" s="64"/>
    </row>
    <row r="127" spans="1:19">
      <c r="A127" s="74"/>
      <c r="B127" s="74"/>
      <c r="C127" s="77"/>
      <c r="D127" s="62"/>
      <c r="E127" s="53"/>
      <c r="F127" s="62"/>
      <c r="G127" s="25" t="s">
        <v>229</v>
      </c>
      <c r="H127" s="25">
        <v>0.36580000000000001</v>
      </c>
      <c r="I127" s="25">
        <v>0</v>
      </c>
      <c r="J127" s="25">
        <v>1</v>
      </c>
      <c r="K127" s="25">
        <v>1</v>
      </c>
      <c r="L127" s="78"/>
      <c r="M127" s="64"/>
      <c r="N127" s="74"/>
      <c r="O127" s="64"/>
      <c r="P127" s="64"/>
      <c r="Q127" s="64"/>
      <c r="R127" s="64"/>
      <c r="S127" s="64"/>
    </row>
    <row r="128" spans="1:19">
      <c r="A128" s="69">
        <v>26</v>
      </c>
      <c r="B128" s="69" t="s">
        <v>14</v>
      </c>
      <c r="C128" s="65" t="s">
        <v>32</v>
      </c>
      <c r="D128" s="57" t="s">
        <v>57</v>
      </c>
      <c r="E128" s="48"/>
      <c r="F128" s="57" t="s">
        <v>233</v>
      </c>
      <c r="G128" s="26" t="s">
        <v>237</v>
      </c>
      <c r="H128" s="26">
        <v>0.41320000000000001</v>
      </c>
      <c r="I128" s="26">
        <v>0</v>
      </c>
      <c r="J128" s="26">
        <v>0</v>
      </c>
      <c r="K128" s="26">
        <v>0</v>
      </c>
      <c r="L128" s="68">
        <v>0</v>
      </c>
      <c r="M128" s="63">
        <v>3</v>
      </c>
      <c r="N128" s="69">
        <v>2</v>
      </c>
      <c r="O128" s="63">
        <v>3</v>
      </c>
      <c r="P128" s="63">
        <v>2</v>
      </c>
      <c r="Q128" s="63">
        <v>56.85</v>
      </c>
      <c r="R128" s="63">
        <v>0.52700000000000002</v>
      </c>
      <c r="S128" s="63">
        <v>0</v>
      </c>
    </row>
    <row r="129" spans="1:19">
      <c r="A129" s="70"/>
      <c r="B129" s="70"/>
      <c r="C129" s="66"/>
      <c r="D129" s="58"/>
      <c r="E129" s="49"/>
      <c r="F129" s="58"/>
      <c r="G129" s="26" t="s">
        <v>176</v>
      </c>
      <c r="H129" s="26">
        <v>0.42880000000000001</v>
      </c>
      <c r="I129" s="26">
        <v>0</v>
      </c>
      <c r="J129" s="26">
        <v>0</v>
      </c>
      <c r="K129" s="26">
        <v>0</v>
      </c>
      <c r="L129" s="68"/>
      <c r="M129" s="63"/>
      <c r="N129" s="70"/>
      <c r="O129" s="63"/>
      <c r="P129" s="63"/>
      <c r="Q129" s="63"/>
      <c r="R129" s="63"/>
      <c r="S129" s="63"/>
    </row>
    <row r="130" spans="1:19">
      <c r="A130" s="70"/>
      <c r="B130" s="70"/>
      <c r="C130" s="66"/>
      <c r="D130" s="58"/>
      <c r="E130" s="49"/>
      <c r="F130" s="58"/>
      <c r="G130" s="26" t="s">
        <v>236</v>
      </c>
      <c r="H130" s="26">
        <v>0.44059999999999999</v>
      </c>
      <c r="I130" s="26">
        <v>0</v>
      </c>
      <c r="J130" s="26">
        <v>0</v>
      </c>
      <c r="K130" s="26">
        <v>0</v>
      </c>
      <c r="L130" s="68"/>
      <c r="M130" s="63"/>
      <c r="N130" s="70"/>
      <c r="O130" s="63"/>
      <c r="P130" s="63"/>
      <c r="Q130" s="63"/>
      <c r="R130" s="63"/>
      <c r="S130" s="63"/>
    </row>
    <row r="131" spans="1:19">
      <c r="A131" s="70"/>
      <c r="B131" s="70"/>
      <c r="C131" s="66"/>
      <c r="D131" s="58"/>
      <c r="E131" s="49"/>
      <c r="F131" s="58"/>
      <c r="G131" s="26" t="s">
        <v>235</v>
      </c>
      <c r="H131" s="26">
        <v>0.44979999999999998</v>
      </c>
      <c r="I131" s="26">
        <v>0</v>
      </c>
      <c r="J131" s="26">
        <v>0</v>
      </c>
      <c r="K131" s="26">
        <v>0</v>
      </c>
      <c r="L131" s="68"/>
      <c r="M131" s="63"/>
      <c r="N131" s="70"/>
      <c r="O131" s="63"/>
      <c r="P131" s="63"/>
      <c r="Q131" s="63"/>
      <c r="R131" s="63"/>
      <c r="S131" s="63"/>
    </row>
    <row r="132" spans="1:19">
      <c r="A132" s="71"/>
      <c r="B132" s="71"/>
      <c r="C132" s="67"/>
      <c r="D132" s="59"/>
      <c r="E132" s="50"/>
      <c r="F132" s="59"/>
      <c r="G132" s="26" t="s">
        <v>234</v>
      </c>
      <c r="H132" s="26">
        <v>0.4582</v>
      </c>
      <c r="I132" s="26">
        <v>0</v>
      </c>
      <c r="J132" s="26">
        <v>0</v>
      </c>
      <c r="K132" s="26">
        <v>0</v>
      </c>
      <c r="L132" s="68"/>
      <c r="M132" s="63"/>
      <c r="N132" s="71"/>
      <c r="O132" s="63"/>
      <c r="P132" s="63"/>
      <c r="Q132" s="63"/>
      <c r="R132" s="63"/>
      <c r="S132" s="63"/>
    </row>
    <row r="133" spans="1:19">
      <c r="A133" s="72">
        <v>27</v>
      </c>
      <c r="B133" s="72" t="s">
        <v>14</v>
      </c>
      <c r="C133" s="75" t="s">
        <v>32</v>
      </c>
      <c r="D133" s="60" t="s">
        <v>58</v>
      </c>
      <c r="E133" s="51"/>
      <c r="F133" s="60" t="s">
        <v>238</v>
      </c>
      <c r="G133" s="25" t="s">
        <v>239</v>
      </c>
      <c r="H133" s="33">
        <v>0.39600000000000002</v>
      </c>
      <c r="I133" s="25">
        <v>0</v>
      </c>
      <c r="J133" s="25">
        <v>1</v>
      </c>
      <c r="K133" s="25">
        <v>1</v>
      </c>
      <c r="L133" s="78">
        <v>0.4</v>
      </c>
      <c r="M133" s="64">
        <v>3</v>
      </c>
      <c r="N133" s="72">
        <v>2</v>
      </c>
      <c r="O133" s="64">
        <v>3</v>
      </c>
      <c r="P133" s="64">
        <v>2</v>
      </c>
      <c r="Q133" s="64">
        <v>39.4</v>
      </c>
      <c r="R133" s="64">
        <v>4</v>
      </c>
      <c r="S133" s="64">
        <v>0</v>
      </c>
    </row>
    <row r="134" spans="1:19">
      <c r="A134" s="73"/>
      <c r="B134" s="73"/>
      <c r="C134" s="76"/>
      <c r="D134" s="61"/>
      <c r="E134" s="52"/>
      <c r="F134" s="61"/>
      <c r="G134" s="25" t="s">
        <v>217</v>
      </c>
      <c r="H134" s="33">
        <v>0.39700000000000002</v>
      </c>
      <c r="I134" s="25">
        <v>0</v>
      </c>
      <c r="J134" s="25">
        <v>1</v>
      </c>
      <c r="K134" s="25">
        <v>1</v>
      </c>
      <c r="L134" s="78"/>
      <c r="M134" s="64"/>
      <c r="N134" s="73"/>
      <c r="O134" s="64"/>
      <c r="P134" s="64"/>
      <c r="Q134" s="64"/>
      <c r="R134" s="64"/>
      <c r="S134" s="64"/>
    </row>
    <row r="135" spans="1:19">
      <c r="A135" s="73"/>
      <c r="B135" s="73"/>
      <c r="C135" s="76"/>
      <c r="D135" s="61"/>
      <c r="E135" s="52"/>
      <c r="F135" s="61"/>
      <c r="G135" s="25" t="s">
        <v>240</v>
      </c>
      <c r="H135" s="25">
        <v>0.45490000000000003</v>
      </c>
      <c r="I135" s="25">
        <v>0</v>
      </c>
      <c r="J135" s="25">
        <v>0</v>
      </c>
      <c r="K135" s="25">
        <v>1</v>
      </c>
      <c r="L135" s="78"/>
      <c r="M135" s="64"/>
      <c r="N135" s="73"/>
      <c r="O135" s="64"/>
      <c r="P135" s="64"/>
      <c r="Q135" s="64"/>
      <c r="R135" s="64"/>
      <c r="S135" s="64"/>
    </row>
    <row r="136" spans="1:19">
      <c r="A136" s="73"/>
      <c r="B136" s="73"/>
      <c r="C136" s="76"/>
      <c r="D136" s="61"/>
      <c r="E136" s="52"/>
      <c r="F136" s="61"/>
      <c r="G136" s="25" t="s">
        <v>241</v>
      </c>
      <c r="H136" s="25">
        <v>0.4607</v>
      </c>
      <c r="I136" s="25">
        <v>0</v>
      </c>
      <c r="J136" s="25">
        <v>0</v>
      </c>
      <c r="K136" s="25">
        <v>1</v>
      </c>
      <c r="L136" s="78"/>
      <c r="M136" s="64"/>
      <c r="N136" s="73"/>
      <c r="O136" s="64"/>
      <c r="P136" s="64"/>
      <c r="Q136" s="64"/>
      <c r="R136" s="64"/>
      <c r="S136" s="64"/>
    </row>
    <row r="137" spans="1:19">
      <c r="A137" s="74"/>
      <c r="B137" s="74"/>
      <c r="C137" s="77"/>
      <c r="D137" s="62"/>
      <c r="E137" s="53"/>
      <c r="F137" s="62"/>
      <c r="G137" s="25" t="s">
        <v>242</v>
      </c>
      <c r="H137" s="25">
        <v>0.4632</v>
      </c>
      <c r="I137" s="25">
        <v>0</v>
      </c>
      <c r="J137" s="25">
        <v>0</v>
      </c>
      <c r="K137" s="25">
        <v>1</v>
      </c>
      <c r="L137" s="78"/>
      <c r="M137" s="64"/>
      <c r="N137" s="74"/>
      <c r="O137" s="64"/>
      <c r="P137" s="64"/>
      <c r="Q137" s="64"/>
      <c r="R137" s="64"/>
      <c r="S137" s="64"/>
    </row>
    <row r="138" spans="1:19">
      <c r="A138" s="69">
        <v>28</v>
      </c>
      <c r="B138" s="69" t="s">
        <v>14</v>
      </c>
      <c r="C138" s="65" t="s">
        <v>32</v>
      </c>
      <c r="D138" s="57" t="s">
        <v>59</v>
      </c>
      <c r="E138" s="48"/>
      <c r="F138" s="57" t="s">
        <v>243</v>
      </c>
      <c r="G138" s="26" t="s">
        <v>247</v>
      </c>
      <c r="H138" s="26">
        <v>0.37759999999999999</v>
      </c>
      <c r="I138" s="26">
        <v>0</v>
      </c>
      <c r="J138" s="26">
        <v>1</v>
      </c>
      <c r="K138" s="26">
        <v>1</v>
      </c>
      <c r="L138" s="68">
        <v>1</v>
      </c>
      <c r="M138" s="63">
        <v>3</v>
      </c>
      <c r="N138" s="69">
        <v>2</v>
      </c>
      <c r="O138" s="63">
        <v>3</v>
      </c>
      <c r="P138" s="63">
        <v>1</v>
      </c>
      <c r="Q138" s="63">
        <v>92.41</v>
      </c>
      <c r="R138" s="63">
        <v>3.1749999999999998</v>
      </c>
      <c r="S138" s="63">
        <v>0</v>
      </c>
    </row>
    <row r="139" spans="1:19">
      <c r="A139" s="70"/>
      <c r="B139" s="70"/>
      <c r="C139" s="66"/>
      <c r="D139" s="58"/>
      <c r="E139" s="49"/>
      <c r="F139" s="58"/>
      <c r="G139" s="26" t="s">
        <v>246</v>
      </c>
      <c r="H139" s="26">
        <v>0.38190000000000002</v>
      </c>
      <c r="I139" s="26">
        <v>0</v>
      </c>
      <c r="J139" s="26">
        <v>1</v>
      </c>
      <c r="K139" s="26">
        <v>1</v>
      </c>
      <c r="L139" s="68"/>
      <c r="M139" s="63"/>
      <c r="N139" s="70"/>
      <c r="O139" s="63"/>
      <c r="P139" s="63"/>
      <c r="Q139" s="63"/>
      <c r="R139" s="63"/>
      <c r="S139" s="63"/>
    </row>
    <row r="140" spans="1:19">
      <c r="A140" s="70"/>
      <c r="B140" s="70"/>
      <c r="C140" s="66"/>
      <c r="D140" s="58"/>
      <c r="E140" s="49"/>
      <c r="F140" s="58"/>
      <c r="G140" s="26" t="s">
        <v>245</v>
      </c>
      <c r="H140" s="26">
        <v>0.38529999999999998</v>
      </c>
      <c r="I140" s="26">
        <v>0</v>
      </c>
      <c r="J140" s="26">
        <v>1</v>
      </c>
      <c r="K140" s="26">
        <v>1</v>
      </c>
      <c r="L140" s="68"/>
      <c r="M140" s="63"/>
      <c r="N140" s="70"/>
      <c r="O140" s="63"/>
      <c r="P140" s="63"/>
      <c r="Q140" s="63"/>
      <c r="R140" s="63"/>
      <c r="S140" s="63"/>
    </row>
    <row r="141" spans="1:19">
      <c r="A141" s="70"/>
      <c r="B141" s="70"/>
      <c r="C141" s="66"/>
      <c r="D141" s="58"/>
      <c r="E141" s="49"/>
      <c r="F141" s="58"/>
      <c r="G141" s="26" t="s">
        <v>74</v>
      </c>
      <c r="H141" s="26">
        <v>0.39150000000000001</v>
      </c>
      <c r="I141" s="26">
        <v>0</v>
      </c>
      <c r="J141" s="26">
        <v>1</v>
      </c>
      <c r="K141" s="26">
        <v>1</v>
      </c>
      <c r="L141" s="68"/>
      <c r="M141" s="63"/>
      <c r="N141" s="70"/>
      <c r="O141" s="63"/>
      <c r="P141" s="63"/>
      <c r="Q141" s="63"/>
      <c r="R141" s="63"/>
      <c r="S141" s="63"/>
    </row>
    <row r="142" spans="1:19">
      <c r="A142" s="71"/>
      <c r="B142" s="71"/>
      <c r="C142" s="67"/>
      <c r="D142" s="59"/>
      <c r="E142" s="50"/>
      <c r="F142" s="59"/>
      <c r="G142" s="26" t="s">
        <v>244</v>
      </c>
      <c r="H142" s="26">
        <v>0.39600000000000002</v>
      </c>
      <c r="I142" s="26">
        <v>0</v>
      </c>
      <c r="J142" s="26">
        <v>1</v>
      </c>
      <c r="K142" s="26">
        <v>1</v>
      </c>
      <c r="L142" s="68"/>
      <c r="M142" s="63"/>
      <c r="N142" s="71"/>
      <c r="O142" s="63"/>
      <c r="P142" s="63"/>
      <c r="Q142" s="63"/>
      <c r="R142" s="63"/>
      <c r="S142" s="63"/>
    </row>
    <row r="143" spans="1:19">
      <c r="A143" s="72">
        <v>29</v>
      </c>
      <c r="B143" s="72" t="s">
        <v>14</v>
      </c>
      <c r="C143" s="75" t="s">
        <v>32</v>
      </c>
      <c r="D143" s="60" t="s">
        <v>60</v>
      </c>
      <c r="E143" s="51"/>
      <c r="F143" s="60" t="s">
        <v>253</v>
      </c>
      <c r="G143" s="25" t="s">
        <v>248</v>
      </c>
      <c r="H143" s="25">
        <v>0.5635</v>
      </c>
      <c r="I143" s="25">
        <v>0</v>
      </c>
      <c r="J143" s="25">
        <v>0</v>
      </c>
      <c r="K143" s="25">
        <v>0</v>
      </c>
      <c r="L143" s="78">
        <v>0</v>
      </c>
      <c r="M143" s="64">
        <v>3</v>
      </c>
      <c r="N143" s="72">
        <v>2</v>
      </c>
      <c r="O143" s="64">
        <v>3</v>
      </c>
      <c r="P143" s="64">
        <v>1</v>
      </c>
      <c r="Q143" s="64">
        <v>69.209999999999994</v>
      </c>
      <c r="R143" s="64">
        <v>0.63800000000000001</v>
      </c>
      <c r="S143" s="64">
        <v>2.0859999999999999</v>
      </c>
    </row>
    <row r="144" spans="1:19">
      <c r="A144" s="73"/>
      <c r="B144" s="73"/>
      <c r="C144" s="76"/>
      <c r="D144" s="61"/>
      <c r="E144" s="52"/>
      <c r="F144" s="61"/>
      <c r="G144" s="25" t="s">
        <v>249</v>
      </c>
      <c r="H144" s="25">
        <v>0.57299999999999995</v>
      </c>
      <c r="I144" s="25">
        <v>0</v>
      </c>
      <c r="J144" s="25">
        <v>0</v>
      </c>
      <c r="K144" s="25">
        <v>0</v>
      </c>
      <c r="L144" s="78"/>
      <c r="M144" s="64"/>
      <c r="N144" s="73"/>
      <c r="O144" s="64"/>
      <c r="P144" s="64"/>
      <c r="Q144" s="64"/>
      <c r="R144" s="64"/>
      <c r="S144" s="64"/>
    </row>
    <row r="145" spans="1:19">
      <c r="A145" s="73"/>
      <c r="B145" s="73"/>
      <c r="C145" s="76"/>
      <c r="D145" s="61"/>
      <c r="E145" s="52"/>
      <c r="F145" s="61"/>
      <c r="G145" s="25" t="s">
        <v>250</v>
      </c>
      <c r="H145" s="25">
        <v>0.58720000000000006</v>
      </c>
      <c r="I145" s="25">
        <v>0</v>
      </c>
      <c r="J145" s="25">
        <v>0</v>
      </c>
      <c r="K145" s="25">
        <v>0</v>
      </c>
      <c r="L145" s="78"/>
      <c r="M145" s="64"/>
      <c r="N145" s="73"/>
      <c r="O145" s="64"/>
      <c r="P145" s="64"/>
      <c r="Q145" s="64"/>
      <c r="R145" s="64"/>
      <c r="S145" s="64"/>
    </row>
    <row r="146" spans="1:19">
      <c r="A146" s="73"/>
      <c r="B146" s="73"/>
      <c r="C146" s="76"/>
      <c r="D146" s="61"/>
      <c r="E146" s="52"/>
      <c r="F146" s="61"/>
      <c r="G146" s="25" t="s">
        <v>251</v>
      </c>
      <c r="H146" s="25">
        <v>0.59279999999999999</v>
      </c>
      <c r="I146" s="25">
        <v>0</v>
      </c>
      <c r="J146" s="25">
        <v>0</v>
      </c>
      <c r="K146" s="25">
        <v>0</v>
      </c>
      <c r="L146" s="78"/>
      <c r="M146" s="64"/>
      <c r="N146" s="73"/>
      <c r="O146" s="64"/>
      <c r="P146" s="64"/>
      <c r="Q146" s="64"/>
      <c r="R146" s="64"/>
      <c r="S146" s="64"/>
    </row>
    <row r="147" spans="1:19">
      <c r="A147" s="74"/>
      <c r="B147" s="74"/>
      <c r="C147" s="77"/>
      <c r="D147" s="62"/>
      <c r="E147" s="53"/>
      <c r="F147" s="62"/>
      <c r="G147" s="25" t="s">
        <v>252</v>
      </c>
      <c r="H147" s="25">
        <v>0.5948</v>
      </c>
      <c r="I147" s="25">
        <v>0</v>
      </c>
      <c r="J147" s="25">
        <v>0</v>
      </c>
      <c r="K147" s="25">
        <v>0</v>
      </c>
      <c r="L147" s="78"/>
      <c r="M147" s="64"/>
      <c r="N147" s="74"/>
      <c r="O147" s="64"/>
      <c r="P147" s="64"/>
      <c r="Q147" s="64"/>
      <c r="R147" s="64"/>
      <c r="S147" s="64"/>
    </row>
    <row r="148" spans="1:19">
      <c r="A148" s="69">
        <v>30</v>
      </c>
      <c r="B148" s="69" t="s">
        <v>14</v>
      </c>
      <c r="C148" s="65" t="s">
        <v>32</v>
      </c>
      <c r="D148" s="57" t="s">
        <v>61</v>
      </c>
      <c r="E148" s="48"/>
      <c r="F148" s="57" t="s">
        <v>259</v>
      </c>
      <c r="G148" s="26" t="s">
        <v>254</v>
      </c>
      <c r="H148" s="26">
        <v>0.37540000000000001</v>
      </c>
      <c r="I148" s="26">
        <v>0</v>
      </c>
      <c r="J148" s="26">
        <v>1</v>
      </c>
      <c r="K148" s="26">
        <v>1</v>
      </c>
      <c r="L148" s="68">
        <v>0.6</v>
      </c>
      <c r="M148" s="63">
        <v>3</v>
      </c>
      <c r="N148" s="69">
        <v>2</v>
      </c>
      <c r="O148" s="63">
        <v>3</v>
      </c>
      <c r="P148" s="63">
        <v>1</v>
      </c>
      <c r="Q148" s="63">
        <v>29.94</v>
      </c>
      <c r="R148" s="63">
        <v>1.2070000000000001</v>
      </c>
      <c r="S148" s="63">
        <v>0</v>
      </c>
    </row>
    <row r="149" spans="1:19">
      <c r="A149" s="70"/>
      <c r="B149" s="70"/>
      <c r="C149" s="66"/>
      <c r="D149" s="58"/>
      <c r="E149" s="49"/>
      <c r="F149" s="58"/>
      <c r="G149" s="26" t="s">
        <v>255</v>
      </c>
      <c r="H149" s="26">
        <v>0.38569999999999999</v>
      </c>
      <c r="I149" s="26">
        <v>0</v>
      </c>
      <c r="J149" s="26">
        <v>1</v>
      </c>
      <c r="K149" s="26">
        <v>1</v>
      </c>
      <c r="L149" s="68"/>
      <c r="M149" s="63"/>
      <c r="N149" s="70"/>
      <c r="O149" s="63"/>
      <c r="P149" s="63"/>
      <c r="Q149" s="63"/>
      <c r="R149" s="63"/>
      <c r="S149" s="63"/>
    </row>
    <row r="150" spans="1:19">
      <c r="A150" s="70"/>
      <c r="B150" s="70"/>
      <c r="C150" s="66"/>
      <c r="D150" s="58"/>
      <c r="E150" s="49"/>
      <c r="F150" s="58"/>
      <c r="G150" s="26" t="s">
        <v>256</v>
      </c>
      <c r="H150" s="26">
        <v>0.40389999999999998</v>
      </c>
      <c r="I150" s="26">
        <v>0</v>
      </c>
      <c r="J150" s="26">
        <v>1</v>
      </c>
      <c r="K150" s="26">
        <v>1</v>
      </c>
      <c r="L150" s="68"/>
      <c r="M150" s="63"/>
      <c r="N150" s="70"/>
      <c r="O150" s="63"/>
      <c r="P150" s="63"/>
      <c r="Q150" s="63"/>
      <c r="R150" s="63"/>
      <c r="S150" s="63"/>
    </row>
    <row r="151" spans="1:19">
      <c r="A151" s="70"/>
      <c r="B151" s="70"/>
      <c r="C151" s="66"/>
      <c r="D151" s="58"/>
      <c r="E151" s="49"/>
      <c r="F151" s="58"/>
      <c r="G151" s="26" t="s">
        <v>257</v>
      </c>
      <c r="H151" s="26">
        <v>0.40620000000000001</v>
      </c>
      <c r="I151" s="26">
        <v>0</v>
      </c>
      <c r="J151" s="26">
        <v>0</v>
      </c>
      <c r="K151" s="26">
        <v>1</v>
      </c>
      <c r="L151" s="68"/>
      <c r="M151" s="63"/>
      <c r="N151" s="70"/>
      <c r="O151" s="63"/>
      <c r="P151" s="63"/>
      <c r="Q151" s="63"/>
      <c r="R151" s="63"/>
      <c r="S151" s="63"/>
    </row>
    <row r="152" spans="1:19">
      <c r="A152" s="71"/>
      <c r="B152" s="71"/>
      <c r="C152" s="67"/>
      <c r="D152" s="59"/>
      <c r="E152" s="50"/>
      <c r="F152" s="59"/>
      <c r="G152" s="26" t="s">
        <v>258</v>
      </c>
      <c r="H152" s="26">
        <v>0.42830000000000001</v>
      </c>
      <c r="I152" s="26">
        <v>0</v>
      </c>
      <c r="J152" s="26">
        <v>0</v>
      </c>
      <c r="K152" s="26">
        <v>1</v>
      </c>
      <c r="L152" s="68"/>
      <c r="M152" s="63"/>
      <c r="N152" s="71"/>
      <c r="O152" s="63"/>
      <c r="P152" s="63"/>
      <c r="Q152" s="63"/>
      <c r="R152" s="63"/>
      <c r="S152" s="63"/>
    </row>
    <row r="153" spans="1:19">
      <c r="A153" s="72">
        <v>31</v>
      </c>
      <c r="B153" s="72" t="s">
        <v>14</v>
      </c>
      <c r="C153" s="75" t="s">
        <v>33</v>
      </c>
      <c r="D153" s="60" t="s">
        <v>260</v>
      </c>
      <c r="E153" s="51"/>
      <c r="F153" s="60" t="s">
        <v>262</v>
      </c>
      <c r="G153" s="25" t="s">
        <v>261</v>
      </c>
      <c r="H153" s="25">
        <v>0.29470000000000002</v>
      </c>
      <c r="I153" s="25">
        <v>1</v>
      </c>
      <c r="J153" s="25">
        <v>1</v>
      </c>
      <c r="K153" s="25">
        <v>1</v>
      </c>
      <c r="L153" s="78">
        <v>1</v>
      </c>
      <c r="M153" s="64">
        <v>3</v>
      </c>
      <c r="N153" s="72">
        <v>3</v>
      </c>
      <c r="O153" s="64">
        <v>3</v>
      </c>
      <c r="P153" s="64">
        <v>2</v>
      </c>
      <c r="Q153" s="64">
        <v>27.38</v>
      </c>
      <c r="R153" s="64">
        <v>1</v>
      </c>
      <c r="S153" s="64">
        <v>0</v>
      </c>
    </row>
    <row r="154" spans="1:19">
      <c r="A154" s="73"/>
      <c r="B154" s="73"/>
      <c r="C154" s="76"/>
      <c r="D154" s="61"/>
      <c r="E154" s="52"/>
      <c r="F154" s="61"/>
      <c r="G154" s="25" t="s">
        <v>94</v>
      </c>
      <c r="H154" s="25">
        <v>0.35770000000000002</v>
      </c>
      <c r="I154" s="25">
        <v>0</v>
      </c>
      <c r="J154" s="25">
        <v>1</v>
      </c>
      <c r="K154" s="25">
        <v>1</v>
      </c>
      <c r="L154" s="78"/>
      <c r="M154" s="64"/>
      <c r="N154" s="73"/>
      <c r="O154" s="64"/>
      <c r="P154" s="64"/>
      <c r="Q154" s="64"/>
      <c r="R154" s="64"/>
      <c r="S154" s="64"/>
    </row>
    <row r="155" spans="1:19">
      <c r="A155" s="73"/>
      <c r="B155" s="73"/>
      <c r="C155" s="76"/>
      <c r="D155" s="61"/>
      <c r="E155" s="52"/>
      <c r="F155" s="61"/>
      <c r="G155" s="25" t="s">
        <v>91</v>
      </c>
      <c r="H155" s="25">
        <v>0.36270000000000002</v>
      </c>
      <c r="I155" s="25">
        <v>0</v>
      </c>
      <c r="J155" s="25">
        <v>1</v>
      </c>
      <c r="K155" s="25">
        <v>1</v>
      </c>
      <c r="L155" s="78"/>
      <c r="M155" s="64"/>
      <c r="N155" s="73"/>
      <c r="O155" s="64"/>
      <c r="P155" s="64"/>
      <c r="Q155" s="64"/>
      <c r="R155" s="64"/>
      <c r="S155" s="64"/>
    </row>
    <row r="156" spans="1:19">
      <c r="A156" s="73"/>
      <c r="B156" s="73"/>
      <c r="C156" s="76"/>
      <c r="D156" s="61"/>
      <c r="E156" s="52"/>
      <c r="F156" s="61"/>
      <c r="G156" s="25" t="s">
        <v>90</v>
      </c>
      <c r="H156" s="25">
        <v>0.39829999999999999</v>
      </c>
      <c r="I156" s="25">
        <v>0</v>
      </c>
      <c r="J156" s="25">
        <v>1</v>
      </c>
      <c r="K156" s="25">
        <v>1</v>
      </c>
      <c r="L156" s="78"/>
      <c r="M156" s="64"/>
      <c r="N156" s="73"/>
      <c r="O156" s="64"/>
      <c r="P156" s="64"/>
      <c r="Q156" s="64"/>
      <c r="R156" s="64"/>
      <c r="S156" s="64"/>
    </row>
    <row r="157" spans="1:19">
      <c r="A157" s="74"/>
      <c r="B157" s="74"/>
      <c r="C157" s="77"/>
      <c r="D157" s="62"/>
      <c r="E157" s="53"/>
      <c r="F157" s="62"/>
      <c r="G157" s="25" t="s">
        <v>93</v>
      </c>
      <c r="H157" s="25">
        <v>0.3987</v>
      </c>
      <c r="I157" s="25">
        <v>0</v>
      </c>
      <c r="J157" s="25">
        <v>1</v>
      </c>
      <c r="K157" s="25">
        <v>1</v>
      </c>
      <c r="L157" s="78"/>
      <c r="M157" s="64"/>
      <c r="N157" s="74"/>
      <c r="O157" s="64"/>
      <c r="P157" s="64"/>
      <c r="Q157" s="64"/>
      <c r="R157" s="64"/>
      <c r="S157" s="64"/>
    </row>
    <row r="158" spans="1:19" ht="15.6" customHeight="1">
      <c r="A158" s="69">
        <v>32</v>
      </c>
      <c r="B158" s="69" t="s">
        <v>14</v>
      </c>
      <c r="C158" s="65" t="s">
        <v>33</v>
      </c>
      <c r="D158" s="57" t="s">
        <v>263</v>
      </c>
      <c r="E158" s="48"/>
      <c r="F158" s="57" t="s">
        <v>264</v>
      </c>
      <c r="G158" s="26" t="s">
        <v>265</v>
      </c>
      <c r="H158" s="26">
        <v>0.32019999999999998</v>
      </c>
      <c r="I158" s="26">
        <v>0</v>
      </c>
      <c r="J158" s="26">
        <v>1</v>
      </c>
      <c r="K158" s="26">
        <v>1</v>
      </c>
      <c r="L158" s="68">
        <v>1</v>
      </c>
      <c r="M158" s="63">
        <v>3</v>
      </c>
      <c r="N158" s="69">
        <v>3</v>
      </c>
      <c r="O158" s="63">
        <v>3</v>
      </c>
      <c r="P158" s="63">
        <v>2</v>
      </c>
      <c r="Q158" s="63">
        <v>24.63</v>
      </c>
      <c r="R158" s="63">
        <v>1.24</v>
      </c>
      <c r="S158" s="63">
        <v>0</v>
      </c>
    </row>
    <row r="159" spans="1:19">
      <c r="A159" s="70"/>
      <c r="B159" s="70"/>
      <c r="C159" s="66"/>
      <c r="D159" s="58"/>
      <c r="E159" s="49"/>
      <c r="F159" s="58"/>
      <c r="G159" s="26" t="s">
        <v>266</v>
      </c>
      <c r="H159" s="26">
        <v>0.32400000000000001</v>
      </c>
      <c r="I159" s="26">
        <v>0</v>
      </c>
      <c r="J159" s="26">
        <v>1</v>
      </c>
      <c r="K159" s="26">
        <v>1</v>
      </c>
      <c r="L159" s="68"/>
      <c r="M159" s="63"/>
      <c r="N159" s="70"/>
      <c r="O159" s="63"/>
      <c r="P159" s="63"/>
      <c r="Q159" s="63"/>
      <c r="R159" s="63"/>
      <c r="S159" s="63"/>
    </row>
    <row r="160" spans="1:19">
      <c r="A160" s="70"/>
      <c r="B160" s="70"/>
      <c r="C160" s="66"/>
      <c r="D160" s="58"/>
      <c r="E160" s="49"/>
      <c r="F160" s="58"/>
      <c r="G160" s="26" t="s">
        <v>267</v>
      </c>
      <c r="H160" s="26">
        <v>0.32600000000000001</v>
      </c>
      <c r="I160" s="26">
        <v>0</v>
      </c>
      <c r="J160" s="26">
        <v>1</v>
      </c>
      <c r="K160" s="26">
        <v>1</v>
      </c>
      <c r="L160" s="68"/>
      <c r="M160" s="63"/>
      <c r="N160" s="70"/>
      <c r="O160" s="63"/>
      <c r="P160" s="63"/>
      <c r="Q160" s="63"/>
      <c r="R160" s="63"/>
      <c r="S160" s="63"/>
    </row>
    <row r="161" spans="1:19">
      <c r="A161" s="70"/>
      <c r="B161" s="70"/>
      <c r="C161" s="66"/>
      <c r="D161" s="58"/>
      <c r="E161" s="49"/>
      <c r="F161" s="58"/>
      <c r="G161" s="26" t="s">
        <v>268</v>
      </c>
      <c r="H161" s="26">
        <v>0.33579999999999999</v>
      </c>
      <c r="I161" s="26">
        <v>0</v>
      </c>
      <c r="J161" s="26">
        <v>1</v>
      </c>
      <c r="K161" s="26">
        <v>1</v>
      </c>
      <c r="L161" s="68"/>
      <c r="M161" s="63"/>
      <c r="N161" s="70"/>
      <c r="O161" s="63"/>
      <c r="P161" s="63"/>
      <c r="Q161" s="63"/>
      <c r="R161" s="63"/>
      <c r="S161" s="63"/>
    </row>
    <row r="162" spans="1:19">
      <c r="A162" s="71"/>
      <c r="B162" s="71"/>
      <c r="C162" s="67"/>
      <c r="D162" s="59"/>
      <c r="E162" s="50"/>
      <c r="F162" s="59"/>
      <c r="G162" s="26" t="s">
        <v>269</v>
      </c>
      <c r="H162" s="26">
        <v>0.34339999999999998</v>
      </c>
      <c r="I162" s="26">
        <v>0</v>
      </c>
      <c r="J162" s="26">
        <v>1</v>
      </c>
      <c r="K162" s="26">
        <v>1</v>
      </c>
      <c r="L162" s="68"/>
      <c r="M162" s="63"/>
      <c r="N162" s="71"/>
      <c r="O162" s="63"/>
      <c r="P162" s="63"/>
      <c r="Q162" s="63"/>
      <c r="R162" s="63"/>
      <c r="S162" s="63"/>
    </row>
    <row r="163" spans="1:19">
      <c r="A163" s="72">
        <v>33</v>
      </c>
      <c r="B163" s="72" t="s">
        <v>14</v>
      </c>
      <c r="C163" s="75" t="s">
        <v>33</v>
      </c>
      <c r="D163" s="60" t="s">
        <v>270</v>
      </c>
      <c r="E163" s="51"/>
      <c r="F163" s="60" t="s">
        <v>272</v>
      </c>
      <c r="G163" s="25" t="s">
        <v>125</v>
      </c>
      <c r="H163" s="25">
        <v>0.38190000000000002</v>
      </c>
      <c r="I163" s="25">
        <v>0</v>
      </c>
      <c r="J163" s="25">
        <v>1</v>
      </c>
      <c r="K163" s="25">
        <v>1</v>
      </c>
      <c r="L163" s="78">
        <v>0.8</v>
      </c>
      <c r="M163" s="64">
        <v>3</v>
      </c>
      <c r="N163" s="72">
        <v>3</v>
      </c>
      <c r="O163" s="64">
        <v>3</v>
      </c>
      <c r="P163" s="64">
        <v>2</v>
      </c>
      <c r="Q163" s="64">
        <v>25.52</v>
      </c>
      <c r="R163" s="64">
        <v>0.71099999999999997</v>
      </c>
      <c r="S163" s="64">
        <v>0</v>
      </c>
    </row>
    <row r="164" spans="1:19">
      <c r="A164" s="73"/>
      <c r="B164" s="73"/>
      <c r="C164" s="76"/>
      <c r="D164" s="61"/>
      <c r="E164" s="52"/>
      <c r="F164" s="61"/>
      <c r="G164" s="25" t="s">
        <v>273</v>
      </c>
      <c r="H164" s="25">
        <v>0.39510000000000001</v>
      </c>
      <c r="I164" s="25">
        <v>0</v>
      </c>
      <c r="J164" s="25">
        <v>1</v>
      </c>
      <c r="K164" s="25">
        <v>1</v>
      </c>
      <c r="L164" s="78"/>
      <c r="M164" s="64"/>
      <c r="N164" s="73"/>
      <c r="O164" s="64"/>
      <c r="P164" s="64"/>
      <c r="Q164" s="64"/>
      <c r="R164" s="64"/>
      <c r="S164" s="64"/>
    </row>
    <row r="165" spans="1:19">
      <c r="A165" s="73"/>
      <c r="B165" s="73"/>
      <c r="C165" s="76"/>
      <c r="D165" s="61"/>
      <c r="E165" s="52"/>
      <c r="F165" s="61"/>
      <c r="G165" s="25" t="s">
        <v>274</v>
      </c>
      <c r="H165" s="25">
        <v>0.39510000000000001</v>
      </c>
      <c r="I165" s="25">
        <v>0</v>
      </c>
      <c r="J165" s="25">
        <v>1</v>
      </c>
      <c r="K165" s="25">
        <v>1</v>
      </c>
      <c r="L165" s="78"/>
      <c r="M165" s="64"/>
      <c r="N165" s="73"/>
      <c r="O165" s="64"/>
      <c r="P165" s="64"/>
      <c r="Q165" s="64"/>
      <c r="R165" s="64"/>
      <c r="S165" s="64"/>
    </row>
    <row r="166" spans="1:19">
      <c r="A166" s="73"/>
      <c r="B166" s="73"/>
      <c r="C166" s="76"/>
      <c r="D166" s="61"/>
      <c r="E166" s="52"/>
      <c r="F166" s="61"/>
      <c r="G166" s="25" t="s">
        <v>275</v>
      </c>
      <c r="H166" s="25">
        <v>0.39810000000000001</v>
      </c>
      <c r="I166" s="25">
        <v>0</v>
      </c>
      <c r="J166" s="25">
        <v>1</v>
      </c>
      <c r="K166" s="25">
        <v>1</v>
      </c>
      <c r="L166" s="78"/>
      <c r="M166" s="64"/>
      <c r="N166" s="73"/>
      <c r="O166" s="64"/>
      <c r="P166" s="64"/>
      <c r="Q166" s="64"/>
      <c r="R166" s="64"/>
      <c r="S166" s="64"/>
    </row>
    <row r="167" spans="1:19">
      <c r="A167" s="74"/>
      <c r="B167" s="74"/>
      <c r="C167" s="77"/>
      <c r="D167" s="62"/>
      <c r="E167" s="53"/>
      <c r="F167" s="62"/>
      <c r="G167" s="25" t="s">
        <v>276</v>
      </c>
      <c r="H167" s="25">
        <v>0.4143</v>
      </c>
      <c r="I167" s="25">
        <v>0</v>
      </c>
      <c r="J167" s="25">
        <v>0</v>
      </c>
      <c r="K167" s="25">
        <v>1</v>
      </c>
      <c r="L167" s="78"/>
      <c r="M167" s="64"/>
      <c r="N167" s="74"/>
      <c r="O167" s="64"/>
      <c r="P167" s="64"/>
      <c r="Q167" s="64"/>
      <c r="R167" s="64"/>
      <c r="S167" s="64"/>
    </row>
    <row r="168" spans="1:19">
      <c r="A168" s="69">
        <v>34</v>
      </c>
      <c r="B168" s="69" t="s">
        <v>14</v>
      </c>
      <c r="C168" s="65" t="s">
        <v>33</v>
      </c>
      <c r="D168" s="57" t="s">
        <v>271</v>
      </c>
      <c r="E168" s="48"/>
      <c r="F168" s="57" t="s">
        <v>282</v>
      </c>
      <c r="G168" s="26" t="s">
        <v>277</v>
      </c>
      <c r="H168" s="26">
        <v>0.2979</v>
      </c>
      <c r="I168" s="26">
        <v>1</v>
      </c>
      <c r="J168" s="26">
        <v>1</v>
      </c>
      <c r="K168" s="26">
        <v>1</v>
      </c>
      <c r="L168" s="68">
        <v>1</v>
      </c>
      <c r="M168" s="63">
        <v>3</v>
      </c>
      <c r="N168" s="69">
        <v>3</v>
      </c>
      <c r="O168" s="63">
        <v>3</v>
      </c>
      <c r="P168" s="63">
        <v>2</v>
      </c>
      <c r="Q168" s="63">
        <v>29.29</v>
      </c>
      <c r="R168" s="63">
        <v>0.59299999999999997</v>
      </c>
      <c r="S168" s="63">
        <v>0</v>
      </c>
    </row>
    <row r="169" spans="1:19">
      <c r="A169" s="70"/>
      <c r="B169" s="70"/>
      <c r="C169" s="66"/>
      <c r="D169" s="58"/>
      <c r="E169" s="49"/>
      <c r="F169" s="58"/>
      <c r="G169" s="26" t="s">
        <v>279</v>
      </c>
      <c r="H169" s="26">
        <v>0.31879999999999997</v>
      </c>
      <c r="I169" s="26">
        <v>0</v>
      </c>
      <c r="J169" s="26">
        <v>1</v>
      </c>
      <c r="K169" s="26">
        <v>1</v>
      </c>
      <c r="L169" s="68"/>
      <c r="M169" s="63"/>
      <c r="N169" s="70"/>
      <c r="O169" s="63"/>
      <c r="P169" s="63"/>
      <c r="Q169" s="63"/>
      <c r="R169" s="63"/>
      <c r="S169" s="63"/>
    </row>
    <row r="170" spans="1:19">
      <c r="A170" s="70"/>
      <c r="B170" s="70"/>
      <c r="C170" s="66"/>
      <c r="D170" s="58"/>
      <c r="E170" s="49"/>
      <c r="F170" s="58"/>
      <c r="G170" s="26" t="s">
        <v>280</v>
      </c>
      <c r="H170" s="26">
        <v>0.32140000000000002</v>
      </c>
      <c r="I170" s="26">
        <v>0</v>
      </c>
      <c r="J170" s="26">
        <v>1</v>
      </c>
      <c r="K170" s="26">
        <v>1</v>
      </c>
      <c r="L170" s="68"/>
      <c r="M170" s="63"/>
      <c r="N170" s="70"/>
      <c r="O170" s="63"/>
      <c r="P170" s="63"/>
      <c r="Q170" s="63"/>
      <c r="R170" s="63"/>
      <c r="S170" s="63"/>
    </row>
    <row r="171" spans="1:19">
      <c r="A171" s="70"/>
      <c r="B171" s="70"/>
      <c r="C171" s="66"/>
      <c r="D171" s="58"/>
      <c r="E171" s="49"/>
      <c r="F171" s="58"/>
      <c r="G171" s="26" t="s">
        <v>278</v>
      </c>
      <c r="H171" s="26">
        <v>0.32879999999999998</v>
      </c>
      <c r="I171" s="26">
        <v>0</v>
      </c>
      <c r="J171" s="26">
        <v>1</v>
      </c>
      <c r="K171" s="26">
        <v>1</v>
      </c>
      <c r="L171" s="68"/>
      <c r="M171" s="63"/>
      <c r="N171" s="70"/>
      <c r="O171" s="63"/>
      <c r="P171" s="63"/>
      <c r="Q171" s="63"/>
      <c r="R171" s="63"/>
      <c r="S171" s="63"/>
    </row>
    <row r="172" spans="1:19">
      <c r="A172" s="71"/>
      <c r="B172" s="71"/>
      <c r="C172" s="67"/>
      <c r="D172" s="59"/>
      <c r="E172" s="50"/>
      <c r="F172" s="59"/>
      <c r="G172" s="26" t="s">
        <v>281</v>
      </c>
      <c r="H172" s="26">
        <v>0.36130000000000001</v>
      </c>
      <c r="I172" s="26">
        <v>0</v>
      </c>
      <c r="J172" s="26">
        <v>1</v>
      </c>
      <c r="K172" s="26">
        <v>1</v>
      </c>
      <c r="L172" s="68"/>
      <c r="M172" s="63"/>
      <c r="N172" s="71"/>
      <c r="O172" s="63"/>
      <c r="P172" s="63"/>
      <c r="Q172" s="63"/>
      <c r="R172" s="63"/>
      <c r="S172" s="63"/>
    </row>
    <row r="173" spans="1:19">
      <c r="A173" s="72">
        <v>35</v>
      </c>
      <c r="B173" s="72" t="s">
        <v>14</v>
      </c>
      <c r="C173" s="75" t="s">
        <v>33</v>
      </c>
      <c r="D173" s="60" t="s">
        <v>283</v>
      </c>
      <c r="E173" s="51"/>
      <c r="F173" s="60" t="s">
        <v>282</v>
      </c>
      <c r="G173" s="25" t="s">
        <v>277</v>
      </c>
      <c r="H173" s="25">
        <v>0.3856</v>
      </c>
      <c r="I173" s="25">
        <v>0</v>
      </c>
      <c r="J173" s="25">
        <v>1</v>
      </c>
      <c r="K173" s="25">
        <v>1</v>
      </c>
      <c r="L173" s="78">
        <v>0.2</v>
      </c>
      <c r="M173" s="64">
        <v>3</v>
      </c>
      <c r="N173" s="72">
        <v>3</v>
      </c>
      <c r="O173" s="64">
        <v>3</v>
      </c>
      <c r="P173" s="64">
        <v>2</v>
      </c>
      <c r="Q173" s="64">
        <v>29.79</v>
      </c>
      <c r="R173" s="64">
        <v>0.47499999999999998</v>
      </c>
      <c r="S173" s="64">
        <v>0</v>
      </c>
    </row>
    <row r="174" spans="1:19">
      <c r="A174" s="73"/>
      <c r="B174" s="73"/>
      <c r="C174" s="76"/>
      <c r="D174" s="61"/>
      <c r="E174" s="52"/>
      <c r="F174" s="61"/>
      <c r="G174" s="25" t="s">
        <v>279</v>
      </c>
      <c r="H174" s="25">
        <v>0.4103</v>
      </c>
      <c r="I174" s="25">
        <v>0</v>
      </c>
      <c r="J174" s="25">
        <v>0</v>
      </c>
      <c r="K174" s="25">
        <v>1</v>
      </c>
      <c r="L174" s="78"/>
      <c r="M174" s="64"/>
      <c r="N174" s="73"/>
      <c r="O174" s="64"/>
      <c r="P174" s="64"/>
      <c r="Q174" s="64"/>
      <c r="R174" s="64"/>
      <c r="S174" s="64"/>
    </row>
    <row r="175" spans="1:19">
      <c r="A175" s="73"/>
      <c r="B175" s="73"/>
      <c r="C175" s="76"/>
      <c r="D175" s="61"/>
      <c r="E175" s="52"/>
      <c r="F175" s="61"/>
      <c r="G175" s="25" t="s">
        <v>280</v>
      </c>
      <c r="H175" s="25">
        <v>0.41510000000000002</v>
      </c>
      <c r="I175" s="25">
        <v>0</v>
      </c>
      <c r="J175" s="25">
        <v>0</v>
      </c>
      <c r="K175" s="25">
        <v>1</v>
      </c>
      <c r="L175" s="78"/>
      <c r="M175" s="64"/>
      <c r="N175" s="73"/>
      <c r="O175" s="64"/>
      <c r="P175" s="64"/>
      <c r="Q175" s="64"/>
      <c r="R175" s="64"/>
      <c r="S175" s="64"/>
    </row>
    <row r="176" spans="1:19">
      <c r="A176" s="73"/>
      <c r="B176" s="73"/>
      <c r="C176" s="76"/>
      <c r="D176" s="61"/>
      <c r="E176" s="52"/>
      <c r="F176" s="61"/>
      <c r="G176" s="25" t="s">
        <v>278</v>
      </c>
      <c r="H176" s="25">
        <v>0.4214</v>
      </c>
      <c r="I176" s="25">
        <v>0</v>
      </c>
      <c r="J176" s="25">
        <v>0</v>
      </c>
      <c r="K176" s="25">
        <v>1</v>
      </c>
      <c r="L176" s="78"/>
      <c r="M176" s="64"/>
      <c r="N176" s="73"/>
      <c r="O176" s="64"/>
      <c r="P176" s="64"/>
      <c r="Q176" s="64"/>
      <c r="R176" s="64"/>
      <c r="S176" s="64"/>
    </row>
    <row r="177" spans="1:19">
      <c r="A177" s="74"/>
      <c r="B177" s="74"/>
      <c r="C177" s="77"/>
      <c r="D177" s="62"/>
      <c r="E177" s="53"/>
      <c r="F177" s="62"/>
      <c r="G177" s="25" t="s">
        <v>281</v>
      </c>
      <c r="H177" s="25">
        <v>0.43380000000000002</v>
      </c>
      <c r="I177" s="25">
        <v>0</v>
      </c>
      <c r="J177" s="25">
        <v>0</v>
      </c>
      <c r="K177" s="25">
        <v>1</v>
      </c>
      <c r="L177" s="78"/>
      <c r="M177" s="64"/>
      <c r="N177" s="74"/>
      <c r="O177" s="64"/>
      <c r="P177" s="64"/>
      <c r="Q177" s="64"/>
      <c r="R177" s="64"/>
      <c r="S177" s="64"/>
    </row>
    <row r="178" spans="1:19">
      <c r="A178" s="69">
        <v>36</v>
      </c>
      <c r="B178" s="69" t="s">
        <v>14</v>
      </c>
      <c r="C178" s="65" t="s">
        <v>33</v>
      </c>
      <c r="D178" s="57" t="s">
        <v>284</v>
      </c>
      <c r="E178" s="48"/>
      <c r="F178" s="57" t="s">
        <v>285</v>
      </c>
      <c r="G178" s="26" t="s">
        <v>286</v>
      </c>
      <c r="H178" s="26">
        <v>0.38540000000000002</v>
      </c>
      <c r="I178" s="26">
        <v>0</v>
      </c>
      <c r="J178" s="26">
        <v>1</v>
      </c>
      <c r="K178" s="26">
        <v>1</v>
      </c>
      <c r="L178" s="68">
        <v>1</v>
      </c>
      <c r="M178" s="63">
        <v>3</v>
      </c>
      <c r="N178" s="69">
        <v>2</v>
      </c>
      <c r="O178" s="63">
        <v>3</v>
      </c>
      <c r="P178" s="63">
        <v>2</v>
      </c>
      <c r="Q178" s="63">
        <v>55.39</v>
      </c>
      <c r="R178" s="63">
        <v>1.016</v>
      </c>
      <c r="S178" s="63">
        <v>0</v>
      </c>
    </row>
    <row r="179" spans="1:19">
      <c r="A179" s="70"/>
      <c r="B179" s="70"/>
      <c r="C179" s="66"/>
      <c r="D179" s="58"/>
      <c r="E179" s="49"/>
      <c r="F179" s="58"/>
      <c r="G179" s="26" t="s">
        <v>287</v>
      </c>
      <c r="H179" s="26">
        <v>0.39179999999999998</v>
      </c>
      <c r="I179" s="26">
        <v>0</v>
      </c>
      <c r="J179" s="26">
        <v>1</v>
      </c>
      <c r="K179" s="26">
        <v>1</v>
      </c>
      <c r="L179" s="68"/>
      <c r="M179" s="63"/>
      <c r="N179" s="70"/>
      <c r="O179" s="63"/>
      <c r="P179" s="63"/>
      <c r="Q179" s="63"/>
      <c r="R179" s="63"/>
      <c r="S179" s="63"/>
    </row>
    <row r="180" spans="1:19">
      <c r="A180" s="70"/>
      <c r="B180" s="70"/>
      <c r="C180" s="66"/>
      <c r="D180" s="58"/>
      <c r="E180" s="49"/>
      <c r="F180" s="58"/>
      <c r="G180" s="26" t="s">
        <v>288</v>
      </c>
      <c r="H180" s="26">
        <v>0.39279999999999998</v>
      </c>
      <c r="I180" s="26">
        <v>0</v>
      </c>
      <c r="J180" s="26">
        <v>1</v>
      </c>
      <c r="K180" s="26">
        <v>1</v>
      </c>
      <c r="L180" s="68"/>
      <c r="M180" s="63"/>
      <c r="N180" s="70"/>
      <c r="O180" s="63"/>
      <c r="P180" s="63"/>
      <c r="Q180" s="63"/>
      <c r="R180" s="63"/>
      <c r="S180" s="63"/>
    </row>
    <row r="181" spans="1:19">
      <c r="A181" s="70"/>
      <c r="B181" s="70"/>
      <c r="C181" s="66"/>
      <c r="D181" s="58"/>
      <c r="E181" s="49"/>
      <c r="F181" s="58"/>
      <c r="G181" s="26" t="s">
        <v>289</v>
      </c>
      <c r="H181" s="26">
        <v>0.39579999999999999</v>
      </c>
      <c r="I181" s="26">
        <v>0</v>
      </c>
      <c r="J181" s="26">
        <v>1</v>
      </c>
      <c r="K181" s="26">
        <v>1</v>
      </c>
      <c r="L181" s="68"/>
      <c r="M181" s="63"/>
      <c r="N181" s="70"/>
      <c r="O181" s="63"/>
      <c r="P181" s="63"/>
      <c r="Q181" s="63"/>
      <c r="R181" s="63"/>
      <c r="S181" s="63"/>
    </row>
    <row r="182" spans="1:19">
      <c r="A182" s="71"/>
      <c r="B182" s="71"/>
      <c r="C182" s="67"/>
      <c r="D182" s="59"/>
      <c r="E182" s="50"/>
      <c r="F182" s="59"/>
      <c r="G182" s="26" t="s">
        <v>290</v>
      </c>
      <c r="H182" s="26">
        <v>0.39879999999999999</v>
      </c>
      <c r="I182" s="26">
        <v>0</v>
      </c>
      <c r="J182" s="26">
        <v>1</v>
      </c>
      <c r="K182" s="26">
        <v>1</v>
      </c>
      <c r="L182" s="68"/>
      <c r="M182" s="63"/>
      <c r="N182" s="71"/>
      <c r="O182" s="63"/>
      <c r="P182" s="63"/>
      <c r="Q182" s="63"/>
      <c r="R182" s="63"/>
      <c r="S182" s="63"/>
    </row>
    <row r="183" spans="1:19">
      <c r="A183" s="72">
        <v>37</v>
      </c>
      <c r="B183" s="72" t="s">
        <v>14</v>
      </c>
      <c r="C183" s="75" t="s">
        <v>33</v>
      </c>
      <c r="D183" s="60" t="s">
        <v>291</v>
      </c>
      <c r="E183" s="51"/>
      <c r="F183" s="60" t="s">
        <v>292</v>
      </c>
      <c r="G183" s="25" t="s">
        <v>293</v>
      </c>
      <c r="H183" s="25">
        <v>0.28860000000000002</v>
      </c>
      <c r="I183" s="25">
        <v>1</v>
      </c>
      <c r="J183" s="25">
        <v>1</v>
      </c>
      <c r="K183" s="25">
        <v>1</v>
      </c>
      <c r="L183" s="78">
        <v>1</v>
      </c>
      <c r="M183" s="64">
        <v>3</v>
      </c>
      <c r="N183" s="72">
        <v>2</v>
      </c>
      <c r="O183" s="64">
        <v>3</v>
      </c>
      <c r="P183" s="64">
        <v>2</v>
      </c>
      <c r="Q183" s="64">
        <v>23.22</v>
      </c>
      <c r="R183" s="64">
        <v>0.82199999999999995</v>
      </c>
      <c r="S183" s="64">
        <v>0</v>
      </c>
    </row>
    <row r="184" spans="1:19">
      <c r="A184" s="73"/>
      <c r="B184" s="73"/>
      <c r="C184" s="76"/>
      <c r="D184" s="61"/>
      <c r="E184" s="52"/>
      <c r="F184" s="61"/>
      <c r="G184" s="25" t="s">
        <v>247</v>
      </c>
      <c r="H184" s="25">
        <v>0.31909999999999999</v>
      </c>
      <c r="I184" s="25">
        <v>0</v>
      </c>
      <c r="J184" s="25">
        <v>1</v>
      </c>
      <c r="K184" s="25">
        <v>1</v>
      </c>
      <c r="L184" s="78"/>
      <c r="M184" s="64"/>
      <c r="N184" s="73"/>
      <c r="O184" s="64"/>
      <c r="P184" s="64"/>
      <c r="Q184" s="64"/>
      <c r="R184" s="64"/>
      <c r="S184" s="64"/>
    </row>
    <row r="185" spans="1:19">
      <c r="A185" s="73"/>
      <c r="B185" s="73"/>
      <c r="C185" s="76"/>
      <c r="D185" s="61"/>
      <c r="E185" s="52"/>
      <c r="F185" s="61"/>
      <c r="G185" s="25" t="s">
        <v>294</v>
      </c>
      <c r="H185" s="25">
        <v>0.3211</v>
      </c>
      <c r="I185" s="25">
        <v>0</v>
      </c>
      <c r="J185" s="25">
        <v>1</v>
      </c>
      <c r="K185" s="25">
        <v>1</v>
      </c>
      <c r="L185" s="78"/>
      <c r="M185" s="64"/>
      <c r="N185" s="73"/>
      <c r="O185" s="64"/>
      <c r="P185" s="64"/>
      <c r="Q185" s="64"/>
      <c r="R185" s="64"/>
      <c r="S185" s="64"/>
    </row>
    <row r="186" spans="1:19">
      <c r="A186" s="73"/>
      <c r="B186" s="73"/>
      <c r="C186" s="76"/>
      <c r="D186" s="61"/>
      <c r="E186" s="52"/>
      <c r="F186" s="61"/>
      <c r="G186" s="25" t="s">
        <v>295</v>
      </c>
      <c r="H186" s="25">
        <v>0.33600000000000002</v>
      </c>
      <c r="I186" s="25">
        <v>0</v>
      </c>
      <c r="J186" s="25">
        <v>1</v>
      </c>
      <c r="K186" s="25">
        <v>1</v>
      </c>
      <c r="L186" s="78"/>
      <c r="M186" s="64"/>
      <c r="N186" s="73"/>
      <c r="O186" s="64"/>
      <c r="P186" s="64"/>
      <c r="Q186" s="64"/>
      <c r="R186" s="64"/>
      <c r="S186" s="64"/>
    </row>
    <row r="187" spans="1:19">
      <c r="A187" s="74"/>
      <c r="B187" s="74"/>
      <c r="C187" s="77"/>
      <c r="D187" s="62"/>
      <c r="E187" s="53"/>
      <c r="F187" s="62"/>
      <c r="G187" s="25" t="s">
        <v>244</v>
      </c>
      <c r="H187" s="25">
        <v>0.33979999999999999</v>
      </c>
      <c r="I187" s="25">
        <v>0</v>
      </c>
      <c r="J187" s="25">
        <v>1</v>
      </c>
      <c r="K187" s="25">
        <v>1</v>
      </c>
      <c r="L187" s="78"/>
      <c r="M187" s="64"/>
      <c r="N187" s="74"/>
      <c r="O187" s="64"/>
      <c r="P187" s="64"/>
      <c r="Q187" s="64"/>
      <c r="R187" s="64"/>
      <c r="S187" s="64"/>
    </row>
    <row r="188" spans="1:19">
      <c r="A188" s="69">
        <v>38</v>
      </c>
      <c r="B188" s="69" t="s">
        <v>14</v>
      </c>
      <c r="C188" s="65" t="s">
        <v>33</v>
      </c>
      <c r="D188" s="57" t="s">
        <v>296</v>
      </c>
      <c r="E188" s="48"/>
      <c r="F188" s="57" t="s">
        <v>297</v>
      </c>
      <c r="G188" s="26" t="s">
        <v>298</v>
      </c>
      <c r="H188" s="26">
        <v>0.34810000000000002</v>
      </c>
      <c r="I188" s="26">
        <v>0</v>
      </c>
      <c r="J188" s="26">
        <v>1</v>
      </c>
      <c r="K188" s="26">
        <v>1</v>
      </c>
      <c r="L188" s="68">
        <v>1</v>
      </c>
      <c r="M188" s="63">
        <v>3</v>
      </c>
      <c r="N188" s="69">
        <v>3</v>
      </c>
      <c r="O188" s="63">
        <v>3</v>
      </c>
      <c r="P188" s="63">
        <v>2</v>
      </c>
      <c r="Q188" s="63">
        <v>30</v>
      </c>
      <c r="R188" s="63">
        <v>0.78</v>
      </c>
      <c r="S188" s="63">
        <v>0</v>
      </c>
    </row>
    <row r="189" spans="1:19">
      <c r="A189" s="70"/>
      <c r="B189" s="70"/>
      <c r="C189" s="66"/>
      <c r="D189" s="58"/>
      <c r="E189" s="49"/>
      <c r="F189" s="58"/>
      <c r="G189" s="26" t="s">
        <v>245</v>
      </c>
      <c r="H189" s="26">
        <v>0.36720000000000003</v>
      </c>
      <c r="I189" s="26">
        <v>0</v>
      </c>
      <c r="J189" s="26">
        <v>1</v>
      </c>
      <c r="K189" s="26">
        <v>1</v>
      </c>
      <c r="L189" s="68"/>
      <c r="M189" s="63"/>
      <c r="N189" s="70"/>
      <c r="O189" s="63"/>
      <c r="P189" s="63"/>
      <c r="Q189" s="63"/>
      <c r="R189" s="63"/>
      <c r="S189" s="63"/>
    </row>
    <row r="190" spans="1:19">
      <c r="A190" s="70"/>
      <c r="B190" s="70"/>
      <c r="C190" s="66"/>
      <c r="D190" s="58"/>
      <c r="E190" s="49"/>
      <c r="F190" s="58"/>
      <c r="G190" s="26" t="s">
        <v>299</v>
      </c>
      <c r="H190" s="26">
        <v>0.36969999999999997</v>
      </c>
      <c r="I190" s="26">
        <v>0</v>
      </c>
      <c r="J190" s="26">
        <v>1</v>
      </c>
      <c r="K190" s="26">
        <v>1</v>
      </c>
      <c r="L190" s="68"/>
      <c r="M190" s="63"/>
      <c r="N190" s="70"/>
      <c r="O190" s="63"/>
      <c r="P190" s="63"/>
      <c r="Q190" s="63"/>
      <c r="R190" s="63"/>
      <c r="S190" s="63"/>
    </row>
    <row r="191" spans="1:19">
      <c r="A191" s="70"/>
      <c r="B191" s="70"/>
      <c r="C191" s="66"/>
      <c r="D191" s="58"/>
      <c r="E191" s="49"/>
      <c r="F191" s="58"/>
      <c r="G191" s="26" t="s">
        <v>300</v>
      </c>
      <c r="H191" s="26">
        <v>0.377</v>
      </c>
      <c r="I191" s="26">
        <v>0</v>
      </c>
      <c r="J191" s="26">
        <v>1</v>
      </c>
      <c r="K191" s="26">
        <v>1</v>
      </c>
      <c r="L191" s="68"/>
      <c r="M191" s="63"/>
      <c r="N191" s="70"/>
      <c r="O191" s="63"/>
      <c r="P191" s="63"/>
      <c r="Q191" s="63"/>
      <c r="R191" s="63"/>
      <c r="S191" s="63"/>
    </row>
    <row r="192" spans="1:19">
      <c r="A192" s="71"/>
      <c r="B192" s="71"/>
      <c r="C192" s="67"/>
      <c r="D192" s="59"/>
      <c r="E192" s="50"/>
      <c r="F192" s="59"/>
      <c r="G192" s="26" t="s">
        <v>301</v>
      </c>
      <c r="H192" s="26">
        <v>0.37790000000000001</v>
      </c>
      <c r="I192" s="26">
        <v>0</v>
      </c>
      <c r="J192" s="26">
        <v>1</v>
      </c>
      <c r="K192" s="26">
        <v>1</v>
      </c>
      <c r="L192" s="68"/>
      <c r="M192" s="63"/>
      <c r="N192" s="71"/>
      <c r="O192" s="63"/>
      <c r="P192" s="63"/>
      <c r="Q192" s="63"/>
      <c r="R192" s="63"/>
      <c r="S192" s="63"/>
    </row>
    <row r="193" spans="1:19">
      <c r="A193" s="72">
        <v>39</v>
      </c>
      <c r="B193" s="72" t="s">
        <v>14</v>
      </c>
      <c r="C193" s="75" t="s">
        <v>33</v>
      </c>
      <c r="D193" s="60" t="s">
        <v>302</v>
      </c>
      <c r="E193" s="51"/>
      <c r="F193" s="60" t="s">
        <v>303</v>
      </c>
      <c r="G193" s="25" t="s">
        <v>237</v>
      </c>
      <c r="H193" s="25">
        <v>0.38629999999999998</v>
      </c>
      <c r="I193" s="25">
        <v>0</v>
      </c>
      <c r="J193" s="25">
        <v>1</v>
      </c>
      <c r="K193" s="25">
        <v>1</v>
      </c>
      <c r="L193" s="78">
        <v>0.6</v>
      </c>
      <c r="M193" s="64">
        <v>3</v>
      </c>
      <c r="N193" s="72">
        <v>3</v>
      </c>
      <c r="O193" s="64">
        <v>3</v>
      </c>
      <c r="P193" s="64">
        <v>2</v>
      </c>
      <c r="Q193" s="64">
        <v>34.090000000000003</v>
      </c>
      <c r="R193" s="64">
        <v>1.6415</v>
      </c>
      <c r="S193" s="64">
        <v>0</v>
      </c>
    </row>
    <row r="194" spans="1:19">
      <c r="A194" s="73"/>
      <c r="B194" s="73"/>
      <c r="C194" s="76"/>
      <c r="D194" s="61"/>
      <c r="E194" s="52"/>
      <c r="F194" s="61"/>
      <c r="G194" s="25" t="s">
        <v>304</v>
      </c>
      <c r="H194" s="25">
        <v>0.39489999999999997</v>
      </c>
      <c r="I194" s="25">
        <v>0</v>
      </c>
      <c r="J194" s="25">
        <v>1</v>
      </c>
      <c r="K194" s="25">
        <v>1</v>
      </c>
      <c r="L194" s="78"/>
      <c r="M194" s="64"/>
      <c r="N194" s="73"/>
      <c r="O194" s="64"/>
      <c r="P194" s="64"/>
      <c r="Q194" s="64"/>
      <c r="R194" s="64"/>
      <c r="S194" s="64"/>
    </row>
    <row r="195" spans="1:19">
      <c r="A195" s="73"/>
      <c r="B195" s="73"/>
      <c r="C195" s="76"/>
      <c r="D195" s="61"/>
      <c r="E195" s="52"/>
      <c r="F195" s="61"/>
      <c r="G195" s="25" t="s">
        <v>305</v>
      </c>
      <c r="H195" s="25">
        <v>0.39960000000000001</v>
      </c>
      <c r="I195" s="25">
        <v>0</v>
      </c>
      <c r="J195" s="25">
        <v>1</v>
      </c>
      <c r="K195" s="25">
        <v>1</v>
      </c>
      <c r="L195" s="78"/>
      <c r="M195" s="64"/>
      <c r="N195" s="73"/>
      <c r="O195" s="64"/>
      <c r="P195" s="64"/>
      <c r="Q195" s="64"/>
      <c r="R195" s="64"/>
      <c r="S195" s="64"/>
    </row>
    <row r="196" spans="1:19">
      <c r="A196" s="73"/>
      <c r="B196" s="73"/>
      <c r="C196" s="76"/>
      <c r="D196" s="61"/>
      <c r="E196" s="52"/>
      <c r="F196" s="61"/>
      <c r="G196" s="25" t="s">
        <v>306</v>
      </c>
      <c r="H196" s="25">
        <v>0.4199</v>
      </c>
      <c r="I196" s="25">
        <v>0</v>
      </c>
      <c r="J196" s="25">
        <v>0</v>
      </c>
      <c r="K196" s="25">
        <v>1</v>
      </c>
      <c r="L196" s="78"/>
      <c r="M196" s="64"/>
      <c r="N196" s="73"/>
      <c r="O196" s="64"/>
      <c r="P196" s="64"/>
      <c r="Q196" s="64"/>
      <c r="R196" s="64"/>
      <c r="S196" s="64"/>
    </row>
    <row r="197" spans="1:19">
      <c r="A197" s="74"/>
      <c r="B197" s="74"/>
      <c r="C197" s="77"/>
      <c r="D197" s="62"/>
      <c r="E197" s="53"/>
      <c r="F197" s="62"/>
      <c r="G197" s="25" t="s">
        <v>235</v>
      </c>
      <c r="H197" s="25">
        <v>0.42330000000000001</v>
      </c>
      <c r="I197" s="25">
        <v>0</v>
      </c>
      <c r="J197" s="25">
        <v>0</v>
      </c>
      <c r="K197" s="25">
        <v>1</v>
      </c>
      <c r="L197" s="78"/>
      <c r="M197" s="64"/>
      <c r="N197" s="74"/>
      <c r="O197" s="64"/>
      <c r="P197" s="64"/>
      <c r="Q197" s="64"/>
      <c r="R197" s="64"/>
      <c r="S197" s="64"/>
    </row>
    <row r="198" spans="1:19">
      <c r="A198" s="69">
        <v>40</v>
      </c>
      <c r="B198" s="69" t="s">
        <v>14</v>
      </c>
      <c r="C198" s="65" t="s">
        <v>33</v>
      </c>
      <c r="D198" s="57" t="s">
        <v>307</v>
      </c>
      <c r="E198" s="48"/>
      <c r="F198" s="57" t="s">
        <v>308</v>
      </c>
      <c r="G198" s="26" t="s">
        <v>125</v>
      </c>
      <c r="H198" s="26">
        <v>0.4556</v>
      </c>
      <c r="I198" s="26">
        <v>0</v>
      </c>
      <c r="J198" s="26">
        <v>0</v>
      </c>
      <c r="K198" s="26">
        <v>1</v>
      </c>
      <c r="L198" s="68">
        <v>0</v>
      </c>
      <c r="M198" s="63">
        <v>3</v>
      </c>
      <c r="N198" s="69">
        <v>2</v>
      </c>
      <c r="O198" s="63">
        <v>3</v>
      </c>
      <c r="P198" s="63">
        <v>2</v>
      </c>
      <c r="Q198" s="63">
        <v>25.77</v>
      </c>
      <c r="R198" s="63">
        <v>1</v>
      </c>
      <c r="S198" s="63">
        <v>0</v>
      </c>
    </row>
    <row r="199" spans="1:19">
      <c r="A199" s="70"/>
      <c r="B199" s="70"/>
      <c r="C199" s="66"/>
      <c r="D199" s="58"/>
      <c r="E199" s="49"/>
      <c r="F199" s="58"/>
      <c r="G199" s="26" t="s">
        <v>309</v>
      </c>
      <c r="H199" s="26">
        <v>0.47460000000000002</v>
      </c>
      <c r="I199" s="26">
        <v>0</v>
      </c>
      <c r="J199" s="26">
        <v>0</v>
      </c>
      <c r="K199" s="26">
        <v>1</v>
      </c>
      <c r="L199" s="68"/>
      <c r="M199" s="63"/>
      <c r="N199" s="70"/>
      <c r="O199" s="63"/>
      <c r="P199" s="63"/>
      <c r="Q199" s="63"/>
      <c r="R199" s="63"/>
      <c r="S199" s="63"/>
    </row>
    <row r="200" spans="1:19">
      <c r="A200" s="70"/>
      <c r="B200" s="70"/>
      <c r="C200" s="66"/>
      <c r="D200" s="58"/>
      <c r="E200" s="49"/>
      <c r="F200" s="58"/>
      <c r="G200" s="26" t="s">
        <v>310</v>
      </c>
      <c r="H200" s="26">
        <v>0.47460000000000002</v>
      </c>
      <c r="I200" s="26">
        <v>0</v>
      </c>
      <c r="J200" s="26">
        <v>0</v>
      </c>
      <c r="K200" s="26">
        <v>1</v>
      </c>
      <c r="L200" s="68"/>
      <c r="M200" s="63"/>
      <c r="N200" s="70"/>
      <c r="O200" s="63"/>
      <c r="P200" s="63"/>
      <c r="Q200" s="63"/>
      <c r="R200" s="63"/>
      <c r="S200" s="63"/>
    </row>
    <row r="201" spans="1:19">
      <c r="A201" s="70"/>
      <c r="B201" s="70"/>
      <c r="C201" s="66"/>
      <c r="D201" s="58"/>
      <c r="E201" s="49"/>
      <c r="F201" s="58"/>
      <c r="G201" s="26" t="s">
        <v>311</v>
      </c>
      <c r="H201" s="26">
        <v>0.47699999999999998</v>
      </c>
      <c r="I201" s="26">
        <v>0</v>
      </c>
      <c r="J201" s="26">
        <v>0</v>
      </c>
      <c r="K201" s="26">
        <v>1</v>
      </c>
      <c r="L201" s="68"/>
      <c r="M201" s="63"/>
      <c r="N201" s="70"/>
      <c r="O201" s="63"/>
      <c r="P201" s="63"/>
      <c r="Q201" s="63"/>
      <c r="R201" s="63"/>
      <c r="S201" s="63"/>
    </row>
    <row r="202" spans="1:19">
      <c r="A202" s="71"/>
      <c r="B202" s="71"/>
      <c r="C202" s="67"/>
      <c r="D202" s="59"/>
      <c r="E202" s="50"/>
      <c r="F202" s="59"/>
      <c r="G202" s="26" t="s">
        <v>312</v>
      </c>
      <c r="H202" s="26">
        <v>0.48089999999999999</v>
      </c>
      <c r="I202" s="26">
        <v>0</v>
      </c>
      <c r="J202" s="26">
        <v>0</v>
      </c>
      <c r="K202" s="26">
        <v>1</v>
      </c>
      <c r="L202" s="68"/>
      <c r="M202" s="63"/>
      <c r="N202" s="71"/>
      <c r="O202" s="63"/>
      <c r="P202" s="63"/>
      <c r="Q202" s="63"/>
      <c r="R202" s="63"/>
      <c r="S202" s="63"/>
    </row>
    <row r="203" spans="1:19">
      <c r="A203" s="72">
        <v>41</v>
      </c>
      <c r="B203" s="72" t="s">
        <v>14</v>
      </c>
      <c r="C203" s="75" t="s">
        <v>34</v>
      </c>
      <c r="D203" s="60" t="s">
        <v>313</v>
      </c>
      <c r="E203" s="51"/>
      <c r="F203" s="60" t="s">
        <v>314</v>
      </c>
      <c r="G203" s="25" t="s">
        <v>66</v>
      </c>
      <c r="H203" s="25">
        <v>0.28799999999999998</v>
      </c>
      <c r="I203" s="25">
        <v>1</v>
      </c>
      <c r="J203" s="25">
        <v>1</v>
      </c>
      <c r="K203" s="25">
        <v>1</v>
      </c>
      <c r="L203" s="78">
        <v>1</v>
      </c>
      <c r="M203" s="64">
        <v>3</v>
      </c>
      <c r="N203" s="72">
        <v>3</v>
      </c>
      <c r="O203" s="64">
        <v>3</v>
      </c>
      <c r="P203" s="64">
        <v>2</v>
      </c>
      <c r="Q203" s="64">
        <v>39.42</v>
      </c>
      <c r="R203" s="64">
        <v>1.1100000000000001</v>
      </c>
      <c r="S203" s="64">
        <v>1.83</v>
      </c>
    </row>
    <row r="204" spans="1:19">
      <c r="A204" s="73"/>
      <c r="B204" s="73"/>
      <c r="C204" s="76"/>
      <c r="D204" s="61"/>
      <c r="E204" s="52"/>
      <c r="F204" s="61"/>
      <c r="G204" s="25" t="s">
        <v>67</v>
      </c>
      <c r="H204" s="25">
        <v>0.31390000000000001</v>
      </c>
      <c r="I204" s="25">
        <v>0</v>
      </c>
      <c r="J204" s="25">
        <v>1</v>
      </c>
      <c r="K204" s="25">
        <v>1</v>
      </c>
      <c r="L204" s="78"/>
      <c r="M204" s="64"/>
      <c r="N204" s="73"/>
      <c r="O204" s="64"/>
      <c r="P204" s="64"/>
      <c r="Q204" s="64"/>
      <c r="R204" s="64"/>
      <c r="S204" s="64"/>
    </row>
    <row r="205" spans="1:19">
      <c r="A205" s="73"/>
      <c r="B205" s="73"/>
      <c r="C205" s="76"/>
      <c r="D205" s="61"/>
      <c r="E205" s="52"/>
      <c r="F205" s="61"/>
      <c r="G205" s="25" t="s">
        <v>148</v>
      </c>
      <c r="H205" s="25">
        <v>0.31730000000000003</v>
      </c>
      <c r="I205" s="25">
        <v>0</v>
      </c>
      <c r="J205" s="25">
        <v>1</v>
      </c>
      <c r="K205" s="25">
        <v>1</v>
      </c>
      <c r="L205" s="78"/>
      <c r="M205" s="64"/>
      <c r="N205" s="73"/>
      <c r="O205" s="64"/>
      <c r="P205" s="64"/>
      <c r="Q205" s="64"/>
      <c r="R205" s="64"/>
      <c r="S205" s="64"/>
    </row>
    <row r="206" spans="1:19">
      <c r="A206" s="73"/>
      <c r="B206" s="73"/>
      <c r="C206" s="76"/>
      <c r="D206" s="61"/>
      <c r="E206" s="52"/>
      <c r="F206" s="61"/>
      <c r="G206" s="25" t="s">
        <v>315</v>
      </c>
      <c r="H206" s="25">
        <v>0.31869999999999998</v>
      </c>
      <c r="I206" s="25">
        <v>0</v>
      </c>
      <c r="J206" s="25">
        <v>1</v>
      </c>
      <c r="K206" s="25">
        <v>1</v>
      </c>
      <c r="L206" s="78"/>
      <c r="M206" s="64"/>
      <c r="N206" s="73"/>
      <c r="O206" s="64"/>
      <c r="P206" s="64"/>
      <c r="Q206" s="64"/>
      <c r="R206" s="64"/>
      <c r="S206" s="64"/>
    </row>
    <row r="207" spans="1:19">
      <c r="A207" s="74"/>
      <c r="B207" s="74"/>
      <c r="C207" s="77"/>
      <c r="D207" s="62"/>
      <c r="E207" s="53"/>
      <c r="F207" s="62"/>
      <c r="G207" s="25" t="s">
        <v>69</v>
      </c>
      <c r="H207" s="25">
        <v>0.32719999999999999</v>
      </c>
      <c r="I207" s="25">
        <v>0</v>
      </c>
      <c r="J207" s="25">
        <v>1</v>
      </c>
      <c r="K207" s="25">
        <v>1</v>
      </c>
      <c r="L207" s="78"/>
      <c r="M207" s="64"/>
      <c r="N207" s="74"/>
      <c r="O207" s="64"/>
      <c r="P207" s="64"/>
      <c r="Q207" s="64"/>
      <c r="R207" s="64"/>
      <c r="S207" s="64"/>
    </row>
    <row r="208" spans="1:19" ht="15.6" customHeight="1">
      <c r="A208" s="69">
        <v>42</v>
      </c>
      <c r="B208" s="69" t="s">
        <v>14</v>
      </c>
      <c r="C208" s="65" t="s">
        <v>34</v>
      </c>
      <c r="D208" s="57" t="s">
        <v>316</v>
      </c>
      <c r="E208" s="48"/>
      <c r="F208" s="57" t="s">
        <v>317</v>
      </c>
      <c r="G208" s="26" t="s">
        <v>318</v>
      </c>
      <c r="H208" s="26">
        <v>0.39839999999999998</v>
      </c>
      <c r="I208" s="26">
        <v>0</v>
      </c>
      <c r="J208" s="26">
        <v>1</v>
      </c>
      <c r="K208" s="26">
        <v>1</v>
      </c>
      <c r="L208" s="68">
        <v>0.2</v>
      </c>
      <c r="M208" s="63">
        <v>3</v>
      </c>
      <c r="N208" s="69">
        <v>3</v>
      </c>
      <c r="O208" s="63">
        <v>3</v>
      </c>
      <c r="P208" s="63">
        <v>2</v>
      </c>
      <c r="Q208" s="63">
        <v>72.75</v>
      </c>
      <c r="R208" s="63">
        <v>1.4850000000000001</v>
      </c>
      <c r="S208" s="63">
        <v>1.4430000000000001</v>
      </c>
    </row>
    <row r="209" spans="1:19">
      <c r="A209" s="70"/>
      <c r="B209" s="70"/>
      <c r="C209" s="66"/>
      <c r="D209" s="58"/>
      <c r="E209" s="49"/>
      <c r="F209" s="58"/>
      <c r="G209" s="26" t="s">
        <v>319</v>
      </c>
      <c r="H209" s="26">
        <v>0.41870000000000002</v>
      </c>
      <c r="I209" s="26">
        <v>0</v>
      </c>
      <c r="J209" s="26">
        <v>0</v>
      </c>
      <c r="K209" s="26">
        <v>1</v>
      </c>
      <c r="L209" s="68"/>
      <c r="M209" s="63"/>
      <c r="N209" s="70"/>
      <c r="O209" s="63"/>
      <c r="P209" s="63"/>
      <c r="Q209" s="63"/>
      <c r="R209" s="63"/>
      <c r="S209" s="63"/>
    </row>
    <row r="210" spans="1:19">
      <c r="A210" s="70"/>
      <c r="B210" s="70"/>
      <c r="C210" s="66"/>
      <c r="D210" s="58"/>
      <c r="E210" s="49"/>
      <c r="F210" s="58"/>
      <c r="G210" s="26" t="s">
        <v>320</v>
      </c>
      <c r="H210" s="26">
        <v>0.42099999999999999</v>
      </c>
      <c r="I210" s="26">
        <v>0</v>
      </c>
      <c r="J210" s="26">
        <v>0</v>
      </c>
      <c r="K210" s="26">
        <v>1</v>
      </c>
      <c r="L210" s="68"/>
      <c r="M210" s="63"/>
      <c r="N210" s="70"/>
      <c r="O210" s="63"/>
      <c r="P210" s="63"/>
      <c r="Q210" s="63"/>
      <c r="R210" s="63"/>
      <c r="S210" s="63"/>
    </row>
    <row r="211" spans="1:19">
      <c r="A211" s="70"/>
      <c r="B211" s="70"/>
      <c r="C211" s="66"/>
      <c r="D211" s="58"/>
      <c r="E211" s="49"/>
      <c r="F211" s="58"/>
      <c r="G211" s="26" t="s">
        <v>321</v>
      </c>
      <c r="H211" s="26">
        <v>0.42120000000000002</v>
      </c>
      <c r="I211" s="26">
        <v>0</v>
      </c>
      <c r="J211" s="26">
        <v>0</v>
      </c>
      <c r="K211" s="26">
        <v>1</v>
      </c>
      <c r="L211" s="68"/>
      <c r="M211" s="63"/>
      <c r="N211" s="70"/>
      <c r="O211" s="63"/>
      <c r="P211" s="63"/>
      <c r="Q211" s="63"/>
      <c r="R211" s="63"/>
      <c r="S211" s="63"/>
    </row>
    <row r="212" spans="1:19">
      <c r="A212" s="71"/>
      <c r="B212" s="71"/>
      <c r="C212" s="67"/>
      <c r="D212" s="59"/>
      <c r="E212" s="50"/>
      <c r="F212" s="59"/>
      <c r="G212" s="26" t="s">
        <v>322</v>
      </c>
      <c r="H212" s="26">
        <v>0.42259999999999998</v>
      </c>
      <c r="I212" s="26">
        <v>0</v>
      </c>
      <c r="J212" s="26">
        <v>0</v>
      </c>
      <c r="K212" s="26">
        <v>1</v>
      </c>
      <c r="L212" s="68"/>
      <c r="M212" s="63"/>
      <c r="N212" s="71"/>
      <c r="O212" s="63"/>
      <c r="P212" s="63"/>
      <c r="Q212" s="63"/>
      <c r="R212" s="63"/>
      <c r="S212" s="63"/>
    </row>
    <row r="213" spans="1:19">
      <c r="A213" s="72">
        <v>43</v>
      </c>
      <c r="B213" s="72" t="s">
        <v>14</v>
      </c>
      <c r="C213" s="75" t="s">
        <v>34</v>
      </c>
      <c r="D213" s="60" t="s">
        <v>323</v>
      </c>
      <c r="E213" s="51"/>
      <c r="F213" s="60" t="s">
        <v>324</v>
      </c>
      <c r="G213" s="25" t="s">
        <v>325</v>
      </c>
      <c r="H213" s="25">
        <v>0.32719999999999999</v>
      </c>
      <c r="I213" s="25">
        <v>0</v>
      </c>
      <c r="J213" s="25">
        <v>1</v>
      </c>
      <c r="K213" s="25">
        <v>1</v>
      </c>
      <c r="L213" s="78">
        <v>1</v>
      </c>
      <c r="M213" s="64">
        <v>3</v>
      </c>
      <c r="N213" s="72">
        <v>2</v>
      </c>
      <c r="O213" s="64">
        <v>3</v>
      </c>
      <c r="P213" s="64">
        <v>2</v>
      </c>
      <c r="Q213" s="64">
        <v>33.82</v>
      </c>
      <c r="R213" s="64">
        <v>1.2410000000000001</v>
      </c>
      <c r="S213" s="64">
        <v>0</v>
      </c>
    </row>
    <row r="214" spans="1:19">
      <c r="A214" s="73"/>
      <c r="B214" s="73"/>
      <c r="C214" s="76"/>
      <c r="D214" s="61"/>
      <c r="E214" s="52"/>
      <c r="F214" s="61"/>
      <c r="G214" s="25" t="s">
        <v>326</v>
      </c>
      <c r="H214" s="25">
        <v>0.33579999999999999</v>
      </c>
      <c r="I214" s="25">
        <v>0</v>
      </c>
      <c r="J214" s="25">
        <v>1</v>
      </c>
      <c r="K214" s="25">
        <v>1</v>
      </c>
      <c r="L214" s="78"/>
      <c r="M214" s="64"/>
      <c r="N214" s="73"/>
      <c r="O214" s="64"/>
      <c r="P214" s="64"/>
      <c r="Q214" s="64"/>
      <c r="R214" s="64"/>
      <c r="S214" s="64"/>
    </row>
    <row r="215" spans="1:19">
      <c r="A215" s="73"/>
      <c r="B215" s="73"/>
      <c r="C215" s="76"/>
      <c r="D215" s="61"/>
      <c r="E215" s="52"/>
      <c r="F215" s="61"/>
      <c r="G215" s="25" t="s">
        <v>327</v>
      </c>
      <c r="H215" s="25">
        <v>0.3508</v>
      </c>
      <c r="I215" s="25">
        <v>0</v>
      </c>
      <c r="J215" s="25">
        <v>1</v>
      </c>
      <c r="K215" s="25">
        <v>1</v>
      </c>
      <c r="L215" s="78"/>
      <c r="M215" s="64"/>
      <c r="N215" s="73"/>
      <c r="O215" s="64"/>
      <c r="P215" s="64"/>
      <c r="Q215" s="64"/>
      <c r="R215" s="64"/>
      <c r="S215" s="64"/>
    </row>
    <row r="216" spans="1:19">
      <c r="A216" s="73"/>
      <c r="B216" s="73"/>
      <c r="C216" s="76"/>
      <c r="D216" s="61"/>
      <c r="E216" s="52"/>
      <c r="F216" s="61"/>
      <c r="G216" s="25" t="s">
        <v>329</v>
      </c>
      <c r="H216" s="25">
        <v>0.35339999999999999</v>
      </c>
      <c r="I216" s="25">
        <v>0</v>
      </c>
      <c r="J216" s="25">
        <v>1</v>
      </c>
      <c r="K216" s="25">
        <v>1</v>
      </c>
      <c r="L216" s="78"/>
      <c r="M216" s="64"/>
      <c r="N216" s="73"/>
      <c r="O216" s="64"/>
      <c r="P216" s="64"/>
      <c r="Q216" s="64"/>
      <c r="R216" s="64"/>
      <c r="S216" s="64"/>
    </row>
    <row r="217" spans="1:19">
      <c r="A217" s="74"/>
      <c r="B217" s="74"/>
      <c r="C217" s="77"/>
      <c r="D217" s="62"/>
      <c r="E217" s="53"/>
      <c r="F217" s="62"/>
      <c r="G217" s="25" t="s">
        <v>328</v>
      </c>
      <c r="H217" s="25">
        <v>0.35880000000000001</v>
      </c>
      <c r="I217" s="25">
        <v>0</v>
      </c>
      <c r="J217" s="25">
        <v>1</v>
      </c>
      <c r="K217" s="25">
        <v>1</v>
      </c>
      <c r="L217" s="78"/>
      <c r="M217" s="64"/>
      <c r="N217" s="74"/>
      <c r="O217" s="64"/>
      <c r="P217" s="64"/>
      <c r="Q217" s="64"/>
      <c r="R217" s="64"/>
      <c r="S217" s="64"/>
    </row>
    <row r="218" spans="1:19">
      <c r="A218" s="69">
        <v>44</v>
      </c>
      <c r="B218" s="69" t="s">
        <v>14</v>
      </c>
      <c r="C218" s="65" t="s">
        <v>34</v>
      </c>
      <c r="D218" s="57" t="s">
        <v>330</v>
      </c>
      <c r="E218" s="48"/>
      <c r="F218" s="57" t="s">
        <v>331</v>
      </c>
      <c r="G218" s="26" t="s">
        <v>332</v>
      </c>
      <c r="H218" s="26">
        <v>0.34329999999999999</v>
      </c>
      <c r="I218" s="26">
        <v>0</v>
      </c>
      <c r="J218" s="26">
        <v>1</v>
      </c>
      <c r="K218" s="26">
        <v>1</v>
      </c>
      <c r="L218" s="68">
        <v>1</v>
      </c>
      <c r="M218" s="63">
        <v>3</v>
      </c>
      <c r="N218" s="69">
        <v>3</v>
      </c>
      <c r="O218" s="63">
        <v>3</v>
      </c>
      <c r="P218" s="63">
        <v>2</v>
      </c>
      <c r="Q218" s="63">
        <v>42.36</v>
      </c>
      <c r="R218" s="63">
        <v>1.288</v>
      </c>
      <c r="S218" s="63">
        <v>1.722</v>
      </c>
    </row>
    <row r="219" spans="1:19">
      <c r="A219" s="70"/>
      <c r="B219" s="70"/>
      <c r="C219" s="66"/>
      <c r="D219" s="58"/>
      <c r="E219" s="49"/>
      <c r="F219" s="58"/>
      <c r="G219" s="26" t="s">
        <v>333</v>
      </c>
      <c r="H219" s="26">
        <v>0.34370000000000001</v>
      </c>
      <c r="I219" s="26">
        <v>0</v>
      </c>
      <c r="J219" s="26">
        <v>1</v>
      </c>
      <c r="K219" s="26">
        <v>1</v>
      </c>
      <c r="L219" s="68"/>
      <c r="M219" s="63"/>
      <c r="N219" s="70"/>
      <c r="O219" s="63"/>
      <c r="P219" s="63"/>
      <c r="Q219" s="63"/>
      <c r="R219" s="63"/>
      <c r="S219" s="63"/>
    </row>
    <row r="220" spans="1:19">
      <c r="A220" s="70"/>
      <c r="B220" s="70"/>
      <c r="C220" s="66"/>
      <c r="D220" s="58"/>
      <c r="E220" s="49"/>
      <c r="F220" s="58"/>
      <c r="G220" s="26" t="s">
        <v>334</v>
      </c>
      <c r="H220" s="26">
        <v>0.34910000000000002</v>
      </c>
      <c r="I220" s="26">
        <v>0</v>
      </c>
      <c r="J220" s="26">
        <v>1</v>
      </c>
      <c r="K220" s="26">
        <v>1</v>
      </c>
      <c r="L220" s="68"/>
      <c r="M220" s="63"/>
      <c r="N220" s="70"/>
      <c r="O220" s="63"/>
      <c r="P220" s="63"/>
      <c r="Q220" s="63"/>
      <c r="R220" s="63"/>
      <c r="S220" s="63"/>
    </row>
    <row r="221" spans="1:19">
      <c r="A221" s="70"/>
      <c r="B221" s="70"/>
      <c r="C221" s="66"/>
      <c r="D221" s="58"/>
      <c r="E221" s="49"/>
      <c r="F221" s="58"/>
      <c r="G221" s="26" t="s">
        <v>335</v>
      </c>
      <c r="H221" s="26">
        <v>0.3523</v>
      </c>
      <c r="I221" s="26">
        <v>0</v>
      </c>
      <c r="J221" s="26">
        <v>1</v>
      </c>
      <c r="K221" s="26">
        <v>1</v>
      </c>
      <c r="L221" s="68"/>
      <c r="M221" s="63"/>
      <c r="N221" s="70"/>
      <c r="O221" s="63"/>
      <c r="P221" s="63"/>
      <c r="Q221" s="63"/>
      <c r="R221" s="63"/>
      <c r="S221" s="63"/>
    </row>
    <row r="222" spans="1:19">
      <c r="A222" s="71"/>
      <c r="B222" s="71"/>
      <c r="C222" s="67"/>
      <c r="D222" s="59"/>
      <c r="E222" s="50"/>
      <c r="F222" s="59"/>
      <c r="G222" s="26" t="s">
        <v>336</v>
      </c>
      <c r="H222" s="26">
        <v>0.373</v>
      </c>
      <c r="I222" s="26">
        <v>0</v>
      </c>
      <c r="J222" s="26">
        <v>1</v>
      </c>
      <c r="K222" s="26">
        <v>1</v>
      </c>
      <c r="L222" s="68"/>
      <c r="M222" s="63"/>
      <c r="N222" s="71"/>
      <c r="O222" s="63"/>
      <c r="P222" s="63"/>
      <c r="Q222" s="63"/>
      <c r="R222" s="63"/>
      <c r="S222" s="63"/>
    </row>
    <row r="223" spans="1:19">
      <c r="A223" s="72">
        <v>45</v>
      </c>
      <c r="B223" s="72" t="s">
        <v>14</v>
      </c>
      <c r="C223" s="75" t="s">
        <v>34</v>
      </c>
      <c r="D223" s="60" t="s">
        <v>337</v>
      </c>
      <c r="E223" s="51"/>
      <c r="F223" s="60" t="s">
        <v>338</v>
      </c>
      <c r="G223" s="25" t="s">
        <v>339</v>
      </c>
      <c r="H223" s="25">
        <v>0.36059999999999998</v>
      </c>
      <c r="I223" s="25">
        <v>0</v>
      </c>
      <c r="J223" s="25">
        <v>1</v>
      </c>
      <c r="K223" s="25">
        <v>1</v>
      </c>
      <c r="L223" s="78">
        <v>1</v>
      </c>
      <c r="M223" s="64">
        <v>3</v>
      </c>
      <c r="N223" s="72">
        <v>3</v>
      </c>
      <c r="O223" s="64">
        <v>3</v>
      </c>
      <c r="P223" s="64">
        <v>2</v>
      </c>
      <c r="Q223" s="64">
        <v>39.44</v>
      </c>
      <c r="R223" s="64">
        <v>0.44800000000000001</v>
      </c>
      <c r="S223" s="64">
        <v>1.587</v>
      </c>
    </row>
    <row r="224" spans="1:19">
      <c r="A224" s="73"/>
      <c r="B224" s="73"/>
      <c r="C224" s="76"/>
      <c r="D224" s="61"/>
      <c r="E224" s="52"/>
      <c r="F224" s="61"/>
      <c r="G224" s="25" t="s">
        <v>340</v>
      </c>
      <c r="H224" s="25">
        <v>0.36549999999999999</v>
      </c>
      <c r="I224" s="25">
        <v>0</v>
      </c>
      <c r="J224" s="25">
        <v>1</v>
      </c>
      <c r="K224" s="25">
        <v>1</v>
      </c>
      <c r="L224" s="78"/>
      <c r="M224" s="64"/>
      <c r="N224" s="73"/>
      <c r="O224" s="64"/>
      <c r="P224" s="64"/>
      <c r="Q224" s="64"/>
      <c r="R224" s="64"/>
      <c r="S224" s="64"/>
    </row>
    <row r="225" spans="1:19">
      <c r="A225" s="73"/>
      <c r="B225" s="73"/>
      <c r="C225" s="76"/>
      <c r="D225" s="61"/>
      <c r="E225" s="52"/>
      <c r="F225" s="61"/>
      <c r="G225" s="25" t="s">
        <v>341</v>
      </c>
      <c r="H225" s="25">
        <v>0.37319999999999998</v>
      </c>
      <c r="I225" s="25">
        <v>0</v>
      </c>
      <c r="J225" s="25">
        <v>1</v>
      </c>
      <c r="K225" s="25">
        <v>1</v>
      </c>
      <c r="L225" s="78"/>
      <c r="M225" s="64"/>
      <c r="N225" s="73"/>
      <c r="O225" s="64"/>
      <c r="P225" s="64"/>
      <c r="Q225" s="64"/>
      <c r="R225" s="64"/>
      <c r="S225" s="64"/>
    </row>
    <row r="226" spans="1:19">
      <c r="A226" s="73"/>
      <c r="B226" s="73"/>
      <c r="C226" s="76"/>
      <c r="D226" s="61"/>
      <c r="E226" s="52"/>
      <c r="F226" s="61"/>
      <c r="G226" s="25" t="s">
        <v>342</v>
      </c>
      <c r="H226" s="25">
        <v>0.3821</v>
      </c>
      <c r="I226" s="25">
        <v>0</v>
      </c>
      <c r="J226" s="25">
        <v>1</v>
      </c>
      <c r="K226" s="25">
        <v>1</v>
      </c>
      <c r="L226" s="78"/>
      <c r="M226" s="64"/>
      <c r="N226" s="73"/>
      <c r="O226" s="64"/>
      <c r="P226" s="64"/>
      <c r="Q226" s="64"/>
      <c r="R226" s="64"/>
      <c r="S226" s="64"/>
    </row>
    <row r="227" spans="1:19">
      <c r="A227" s="74"/>
      <c r="B227" s="74"/>
      <c r="C227" s="77"/>
      <c r="D227" s="62"/>
      <c r="E227" s="53"/>
      <c r="F227" s="62"/>
      <c r="G227" s="25" t="s">
        <v>343</v>
      </c>
      <c r="H227" s="25">
        <v>0.3851</v>
      </c>
      <c r="I227" s="25">
        <v>0</v>
      </c>
      <c r="J227" s="25">
        <v>1</v>
      </c>
      <c r="K227" s="25">
        <v>1</v>
      </c>
      <c r="L227" s="78"/>
      <c r="M227" s="64"/>
      <c r="N227" s="74"/>
      <c r="O227" s="64"/>
      <c r="P227" s="64"/>
      <c r="Q227" s="64"/>
      <c r="R227" s="64"/>
      <c r="S227" s="64"/>
    </row>
    <row r="228" spans="1:19">
      <c r="A228" s="69">
        <v>46</v>
      </c>
      <c r="B228" s="69" t="s">
        <v>14</v>
      </c>
      <c r="C228" s="65" t="s">
        <v>34</v>
      </c>
      <c r="D228" s="57" t="s">
        <v>344</v>
      </c>
      <c r="E228" s="48"/>
      <c r="F228" s="57" t="s">
        <v>345</v>
      </c>
      <c r="G228" s="26" t="s">
        <v>65</v>
      </c>
      <c r="H228" s="26">
        <v>0.30130000000000001</v>
      </c>
      <c r="I228" s="26">
        <v>1</v>
      </c>
      <c r="J228" s="26">
        <v>1</v>
      </c>
      <c r="K228" s="26">
        <v>1</v>
      </c>
      <c r="L228" s="68">
        <v>1</v>
      </c>
      <c r="M228" s="63">
        <v>3</v>
      </c>
      <c r="N228" s="69">
        <v>3</v>
      </c>
      <c r="O228" s="63">
        <v>3</v>
      </c>
      <c r="P228" s="63">
        <v>2</v>
      </c>
      <c r="Q228" s="63">
        <v>143.69999999999999</v>
      </c>
      <c r="R228" s="63">
        <v>0.65</v>
      </c>
      <c r="S228" s="63">
        <v>3.43</v>
      </c>
    </row>
    <row r="229" spans="1:19">
      <c r="A229" s="70"/>
      <c r="B229" s="70"/>
      <c r="C229" s="66"/>
      <c r="D229" s="58"/>
      <c r="E229" s="49"/>
      <c r="F229" s="58"/>
      <c r="G229" s="26" t="s">
        <v>68</v>
      </c>
      <c r="H229" s="26">
        <v>0.30209999999999998</v>
      </c>
      <c r="I229" s="26">
        <v>1</v>
      </c>
      <c r="J229" s="26">
        <v>1</v>
      </c>
      <c r="K229" s="26">
        <v>1</v>
      </c>
      <c r="L229" s="68"/>
      <c r="M229" s="63"/>
      <c r="N229" s="70"/>
      <c r="O229" s="63"/>
      <c r="P229" s="63"/>
      <c r="Q229" s="63"/>
      <c r="R229" s="63"/>
      <c r="S229" s="63"/>
    </row>
    <row r="230" spans="1:19">
      <c r="A230" s="70"/>
      <c r="B230" s="70"/>
      <c r="C230" s="66"/>
      <c r="D230" s="58"/>
      <c r="E230" s="49"/>
      <c r="F230" s="58"/>
      <c r="G230" s="26" t="s">
        <v>66</v>
      </c>
      <c r="H230" s="26">
        <v>0.31230000000000002</v>
      </c>
      <c r="I230" s="26">
        <v>0</v>
      </c>
      <c r="J230" s="26">
        <v>1</v>
      </c>
      <c r="K230" s="26">
        <v>1</v>
      </c>
      <c r="L230" s="68"/>
      <c r="M230" s="63"/>
      <c r="N230" s="70"/>
      <c r="O230" s="63"/>
      <c r="P230" s="63"/>
      <c r="Q230" s="63"/>
      <c r="R230" s="63"/>
      <c r="S230" s="63"/>
    </row>
    <row r="231" spans="1:19">
      <c r="A231" s="70"/>
      <c r="B231" s="70"/>
      <c r="C231" s="66"/>
      <c r="D231" s="58"/>
      <c r="E231" s="49"/>
      <c r="F231" s="58"/>
      <c r="G231" s="26" t="s">
        <v>69</v>
      </c>
      <c r="H231" s="26">
        <v>0.33150000000000002</v>
      </c>
      <c r="I231" s="26">
        <v>0</v>
      </c>
      <c r="J231" s="26">
        <v>1</v>
      </c>
      <c r="K231" s="26">
        <v>1</v>
      </c>
      <c r="L231" s="68"/>
      <c r="M231" s="63"/>
      <c r="N231" s="70"/>
      <c r="O231" s="63"/>
      <c r="P231" s="63"/>
      <c r="Q231" s="63"/>
      <c r="R231" s="63"/>
      <c r="S231" s="63"/>
    </row>
    <row r="232" spans="1:19">
      <c r="A232" s="71"/>
      <c r="B232" s="71"/>
      <c r="C232" s="67"/>
      <c r="D232" s="59"/>
      <c r="E232" s="50"/>
      <c r="F232" s="59"/>
      <c r="G232" s="26" t="s">
        <v>346</v>
      </c>
      <c r="H232" s="26">
        <v>0.34460000000000002</v>
      </c>
      <c r="I232" s="26">
        <v>0</v>
      </c>
      <c r="J232" s="26">
        <v>1</v>
      </c>
      <c r="K232" s="26">
        <v>1</v>
      </c>
      <c r="L232" s="68"/>
      <c r="M232" s="63"/>
      <c r="N232" s="71"/>
      <c r="O232" s="63"/>
      <c r="P232" s="63"/>
      <c r="Q232" s="63"/>
      <c r="R232" s="63"/>
      <c r="S232" s="63"/>
    </row>
    <row r="233" spans="1:19">
      <c r="A233" s="72">
        <v>47</v>
      </c>
      <c r="B233" s="72" t="s">
        <v>14</v>
      </c>
      <c r="C233" s="75" t="s">
        <v>34</v>
      </c>
      <c r="D233" s="60" t="s">
        <v>347</v>
      </c>
      <c r="E233" s="51"/>
      <c r="F233" s="60" t="s">
        <v>348</v>
      </c>
      <c r="G233" s="25" t="s">
        <v>349</v>
      </c>
      <c r="H233" s="25">
        <v>0.36399999999999999</v>
      </c>
      <c r="I233" s="25">
        <v>0</v>
      </c>
      <c r="J233" s="25">
        <v>1</v>
      </c>
      <c r="K233" s="25">
        <v>1</v>
      </c>
      <c r="L233" s="78">
        <v>0.2</v>
      </c>
      <c r="M233" s="64">
        <v>3</v>
      </c>
      <c r="N233" s="72">
        <v>3</v>
      </c>
      <c r="O233" s="64">
        <v>3</v>
      </c>
      <c r="P233" s="64">
        <v>2</v>
      </c>
      <c r="Q233" s="64">
        <v>111.87</v>
      </c>
      <c r="R233" s="64">
        <v>0.9</v>
      </c>
      <c r="S233" s="64">
        <v>1.653</v>
      </c>
    </row>
    <row r="234" spans="1:19">
      <c r="A234" s="73"/>
      <c r="B234" s="73"/>
      <c r="C234" s="76"/>
      <c r="D234" s="61"/>
      <c r="E234" s="52"/>
      <c r="F234" s="61"/>
      <c r="G234" s="25" t="s">
        <v>350</v>
      </c>
      <c r="H234" s="25">
        <v>0.40810000000000002</v>
      </c>
      <c r="I234" s="25">
        <v>0</v>
      </c>
      <c r="J234" s="25">
        <v>0</v>
      </c>
      <c r="K234" s="25">
        <v>1</v>
      </c>
      <c r="L234" s="78"/>
      <c r="M234" s="64"/>
      <c r="N234" s="73"/>
      <c r="O234" s="64"/>
      <c r="P234" s="64"/>
      <c r="Q234" s="64"/>
      <c r="R234" s="64"/>
      <c r="S234" s="64"/>
    </row>
    <row r="235" spans="1:19">
      <c r="A235" s="73"/>
      <c r="B235" s="73"/>
      <c r="C235" s="76"/>
      <c r="D235" s="61"/>
      <c r="E235" s="52"/>
      <c r="F235" s="61"/>
      <c r="G235" s="25" t="s">
        <v>351</v>
      </c>
      <c r="H235" s="25">
        <v>0.41320000000000001</v>
      </c>
      <c r="I235" s="25">
        <v>0</v>
      </c>
      <c r="J235" s="25">
        <v>0</v>
      </c>
      <c r="K235" s="25">
        <v>1</v>
      </c>
      <c r="L235" s="78"/>
      <c r="M235" s="64"/>
      <c r="N235" s="73"/>
      <c r="O235" s="64"/>
      <c r="P235" s="64"/>
      <c r="Q235" s="64"/>
      <c r="R235" s="64"/>
      <c r="S235" s="64"/>
    </row>
    <row r="236" spans="1:19">
      <c r="A236" s="73"/>
      <c r="B236" s="73"/>
      <c r="C236" s="76"/>
      <c r="D236" s="61"/>
      <c r="E236" s="52"/>
      <c r="F236" s="61"/>
      <c r="G236" s="25" t="s">
        <v>352</v>
      </c>
      <c r="H236" s="25">
        <v>0.41770000000000002</v>
      </c>
      <c r="I236" s="25">
        <v>0</v>
      </c>
      <c r="J236" s="25">
        <v>0</v>
      </c>
      <c r="K236" s="25">
        <v>1</v>
      </c>
      <c r="L236" s="78"/>
      <c r="M236" s="64"/>
      <c r="N236" s="73"/>
      <c r="O236" s="64"/>
      <c r="P236" s="64"/>
      <c r="Q236" s="64"/>
      <c r="R236" s="64"/>
      <c r="S236" s="64"/>
    </row>
    <row r="237" spans="1:19">
      <c r="A237" s="74"/>
      <c r="B237" s="74"/>
      <c r="C237" s="77"/>
      <c r="D237" s="62"/>
      <c r="E237" s="53"/>
      <c r="F237" s="62"/>
      <c r="G237" s="25" t="s">
        <v>353</v>
      </c>
      <c r="H237" s="25">
        <v>0.42330000000000001</v>
      </c>
      <c r="I237" s="25">
        <v>0</v>
      </c>
      <c r="J237" s="25">
        <v>0</v>
      </c>
      <c r="K237" s="25">
        <v>1</v>
      </c>
      <c r="L237" s="78"/>
      <c r="M237" s="64"/>
      <c r="N237" s="74"/>
      <c r="O237" s="64"/>
      <c r="P237" s="64"/>
      <c r="Q237" s="64"/>
      <c r="R237" s="64"/>
      <c r="S237" s="64"/>
    </row>
    <row r="238" spans="1:19">
      <c r="A238" s="69">
        <v>48</v>
      </c>
      <c r="B238" s="69" t="s">
        <v>14</v>
      </c>
      <c r="C238" s="65" t="s">
        <v>34</v>
      </c>
      <c r="D238" s="57" t="s">
        <v>354</v>
      </c>
      <c r="E238" s="48"/>
      <c r="F238" s="57" t="s">
        <v>355</v>
      </c>
      <c r="G238" s="26" t="s">
        <v>350</v>
      </c>
      <c r="H238" s="26">
        <v>0.41239999999999999</v>
      </c>
      <c r="I238" s="26">
        <v>0</v>
      </c>
      <c r="J238" s="26">
        <v>0</v>
      </c>
      <c r="K238" s="26">
        <v>1</v>
      </c>
      <c r="L238" s="68">
        <v>0</v>
      </c>
      <c r="M238" s="63">
        <v>3</v>
      </c>
      <c r="N238" s="69">
        <v>2</v>
      </c>
      <c r="O238" s="63">
        <v>3</v>
      </c>
      <c r="P238" s="63">
        <v>2</v>
      </c>
      <c r="Q238" s="63">
        <v>32.28</v>
      </c>
      <c r="R238" s="63">
        <v>0.48799999999999999</v>
      </c>
      <c r="S238" s="63">
        <v>0</v>
      </c>
    </row>
    <row r="239" spans="1:19">
      <c r="A239" s="70"/>
      <c r="B239" s="70"/>
      <c r="C239" s="66"/>
      <c r="D239" s="58"/>
      <c r="E239" s="49"/>
      <c r="F239" s="58"/>
      <c r="G239" s="26" t="s">
        <v>356</v>
      </c>
      <c r="H239" s="26">
        <v>0.4239</v>
      </c>
      <c r="I239" s="26">
        <v>0</v>
      </c>
      <c r="J239" s="26">
        <v>0</v>
      </c>
      <c r="K239" s="26">
        <v>1</v>
      </c>
      <c r="L239" s="68"/>
      <c r="M239" s="63"/>
      <c r="N239" s="70"/>
      <c r="O239" s="63"/>
      <c r="P239" s="63"/>
      <c r="Q239" s="63"/>
      <c r="R239" s="63"/>
      <c r="S239" s="63"/>
    </row>
    <row r="240" spans="1:19">
      <c r="A240" s="70"/>
      <c r="B240" s="70"/>
      <c r="C240" s="66"/>
      <c r="D240" s="58"/>
      <c r="E240" s="49"/>
      <c r="F240" s="58"/>
      <c r="G240" s="26" t="s">
        <v>357</v>
      </c>
      <c r="H240" s="26">
        <v>0.42549999999999999</v>
      </c>
      <c r="I240" s="26">
        <v>0</v>
      </c>
      <c r="J240" s="26">
        <v>0</v>
      </c>
      <c r="K240" s="26">
        <v>1</v>
      </c>
      <c r="L240" s="68"/>
      <c r="M240" s="63"/>
      <c r="N240" s="70"/>
      <c r="O240" s="63"/>
      <c r="P240" s="63"/>
      <c r="Q240" s="63"/>
      <c r="R240" s="63"/>
      <c r="S240" s="63"/>
    </row>
    <row r="241" spans="1:19">
      <c r="A241" s="70"/>
      <c r="B241" s="70"/>
      <c r="C241" s="66"/>
      <c r="D241" s="58"/>
      <c r="E241" s="49"/>
      <c r="F241" s="58"/>
      <c r="G241" s="26" t="s">
        <v>358</v>
      </c>
      <c r="H241" s="26">
        <v>0.42680000000000001</v>
      </c>
      <c r="I241" s="26">
        <v>0</v>
      </c>
      <c r="J241" s="26">
        <v>0</v>
      </c>
      <c r="K241" s="26">
        <v>1</v>
      </c>
      <c r="L241" s="68"/>
      <c r="M241" s="63"/>
      <c r="N241" s="70"/>
      <c r="O241" s="63"/>
      <c r="P241" s="63"/>
      <c r="Q241" s="63"/>
      <c r="R241" s="63"/>
      <c r="S241" s="63"/>
    </row>
    <row r="242" spans="1:19">
      <c r="A242" s="71"/>
      <c r="B242" s="71"/>
      <c r="C242" s="67"/>
      <c r="D242" s="59"/>
      <c r="E242" s="50"/>
      <c r="F242" s="59"/>
      <c r="G242" s="26" t="s">
        <v>359</v>
      </c>
      <c r="H242" s="26">
        <v>0.42899999999999999</v>
      </c>
      <c r="I242" s="26">
        <v>0</v>
      </c>
      <c r="J242" s="26">
        <v>0</v>
      </c>
      <c r="K242" s="26">
        <v>1</v>
      </c>
      <c r="L242" s="68"/>
      <c r="M242" s="63"/>
      <c r="N242" s="71"/>
      <c r="O242" s="63"/>
      <c r="P242" s="63"/>
      <c r="Q242" s="63"/>
      <c r="R242" s="63"/>
      <c r="S242" s="63"/>
    </row>
    <row r="243" spans="1:19">
      <c r="A243" s="72">
        <v>49</v>
      </c>
      <c r="B243" s="72" t="s">
        <v>14</v>
      </c>
      <c r="C243" s="75" t="s">
        <v>34</v>
      </c>
      <c r="D243" s="60" t="s">
        <v>360</v>
      </c>
      <c r="E243" s="51"/>
      <c r="F243" s="60" t="s">
        <v>362</v>
      </c>
      <c r="G243" s="25" t="s">
        <v>363</v>
      </c>
      <c r="H243" s="25">
        <v>0.27550000000000002</v>
      </c>
      <c r="I243" s="25">
        <v>1</v>
      </c>
      <c r="J243" s="25">
        <v>1</v>
      </c>
      <c r="K243" s="25">
        <v>1</v>
      </c>
      <c r="L243" s="78">
        <v>1</v>
      </c>
      <c r="M243" s="64">
        <v>3</v>
      </c>
      <c r="N243" s="72">
        <v>3</v>
      </c>
      <c r="O243" s="64">
        <v>3</v>
      </c>
      <c r="P243" s="64">
        <v>1</v>
      </c>
      <c r="Q243" s="64">
        <v>26.08</v>
      </c>
      <c r="R243" s="64">
        <v>0.85499999999999998</v>
      </c>
      <c r="S243" s="64">
        <v>0</v>
      </c>
    </row>
    <row r="244" spans="1:19">
      <c r="A244" s="73"/>
      <c r="B244" s="73"/>
      <c r="C244" s="76"/>
      <c r="D244" s="61"/>
      <c r="E244" s="52"/>
      <c r="F244" s="61"/>
      <c r="G244" s="25" t="s">
        <v>364</v>
      </c>
      <c r="H244" s="25">
        <v>0.30730000000000002</v>
      </c>
      <c r="I244" s="25">
        <v>0</v>
      </c>
      <c r="J244" s="25">
        <v>1</v>
      </c>
      <c r="K244" s="25">
        <v>1</v>
      </c>
      <c r="L244" s="78"/>
      <c r="M244" s="64"/>
      <c r="N244" s="73"/>
      <c r="O244" s="64"/>
      <c r="P244" s="64"/>
      <c r="Q244" s="64"/>
      <c r="R244" s="64"/>
      <c r="S244" s="64"/>
    </row>
    <row r="245" spans="1:19">
      <c r="A245" s="73"/>
      <c r="B245" s="73"/>
      <c r="C245" s="76"/>
      <c r="D245" s="61"/>
      <c r="E245" s="52"/>
      <c r="F245" s="61"/>
      <c r="G245" s="25" t="s">
        <v>365</v>
      </c>
      <c r="H245" s="25">
        <v>0.31209999999999999</v>
      </c>
      <c r="I245" s="25">
        <v>0</v>
      </c>
      <c r="J245" s="25">
        <v>1</v>
      </c>
      <c r="K245" s="25">
        <v>1</v>
      </c>
      <c r="L245" s="78"/>
      <c r="M245" s="64"/>
      <c r="N245" s="73"/>
      <c r="O245" s="64"/>
      <c r="P245" s="64"/>
      <c r="Q245" s="64"/>
      <c r="R245" s="64"/>
      <c r="S245" s="64"/>
    </row>
    <row r="246" spans="1:19">
      <c r="A246" s="73"/>
      <c r="B246" s="73"/>
      <c r="C246" s="76"/>
      <c r="D246" s="61"/>
      <c r="E246" s="52"/>
      <c r="F246" s="61"/>
      <c r="G246" s="25" t="s">
        <v>366</v>
      </c>
      <c r="H246" s="25">
        <v>0.3211</v>
      </c>
      <c r="I246" s="25">
        <v>0</v>
      </c>
      <c r="J246" s="25">
        <v>1</v>
      </c>
      <c r="K246" s="25">
        <v>1</v>
      </c>
      <c r="L246" s="78"/>
      <c r="M246" s="64"/>
      <c r="N246" s="73"/>
      <c r="O246" s="64"/>
      <c r="P246" s="64"/>
      <c r="Q246" s="64"/>
      <c r="R246" s="64"/>
      <c r="S246" s="64"/>
    </row>
    <row r="247" spans="1:19">
      <c r="A247" s="74"/>
      <c r="B247" s="74"/>
      <c r="C247" s="77"/>
      <c r="D247" s="62"/>
      <c r="E247" s="53"/>
      <c r="F247" s="62"/>
      <c r="G247" s="25" t="s">
        <v>367</v>
      </c>
      <c r="H247" s="25">
        <v>0.32650000000000001</v>
      </c>
      <c r="I247" s="25">
        <v>0</v>
      </c>
      <c r="J247" s="25">
        <v>1</v>
      </c>
      <c r="K247" s="25">
        <v>1</v>
      </c>
      <c r="L247" s="78"/>
      <c r="M247" s="64"/>
      <c r="N247" s="74"/>
      <c r="O247" s="64"/>
      <c r="P247" s="64"/>
      <c r="Q247" s="64"/>
      <c r="R247" s="64"/>
      <c r="S247" s="64"/>
    </row>
    <row r="248" spans="1:19">
      <c r="A248" s="69">
        <v>50</v>
      </c>
      <c r="B248" s="69" t="s">
        <v>14</v>
      </c>
      <c r="C248" s="65" t="s">
        <v>34</v>
      </c>
      <c r="D248" s="57" t="s">
        <v>361</v>
      </c>
      <c r="E248" s="48"/>
      <c r="F248" s="57" t="s">
        <v>368</v>
      </c>
      <c r="G248" s="26" t="s">
        <v>369</v>
      </c>
      <c r="H248" s="26">
        <v>0.39489999999999997</v>
      </c>
      <c r="I248" s="26">
        <v>0</v>
      </c>
      <c r="J248" s="26">
        <v>1</v>
      </c>
      <c r="K248" s="26">
        <v>1</v>
      </c>
      <c r="L248" s="68">
        <v>0.4</v>
      </c>
      <c r="M248" s="63">
        <v>3</v>
      </c>
      <c r="N248" s="69">
        <v>2</v>
      </c>
      <c r="O248" s="63">
        <v>3</v>
      </c>
      <c r="P248" s="63">
        <v>1</v>
      </c>
      <c r="Q248" s="63">
        <v>231.40600000000001</v>
      </c>
      <c r="R248" s="63">
        <v>0.95499999999999996</v>
      </c>
      <c r="S248" s="63">
        <v>4.0999999999999996</v>
      </c>
    </row>
    <row r="249" spans="1:19">
      <c r="A249" s="70"/>
      <c r="B249" s="70"/>
      <c r="C249" s="66"/>
      <c r="D249" s="58"/>
      <c r="E249" s="49"/>
      <c r="F249" s="58"/>
      <c r="G249" s="26" t="s">
        <v>370</v>
      </c>
      <c r="H249" s="26">
        <v>0.40439999999999998</v>
      </c>
      <c r="I249" s="26">
        <v>0</v>
      </c>
      <c r="J249" s="26">
        <v>1</v>
      </c>
      <c r="K249" s="26">
        <v>1</v>
      </c>
      <c r="L249" s="68"/>
      <c r="M249" s="63"/>
      <c r="N249" s="70"/>
      <c r="O249" s="63"/>
      <c r="P249" s="63"/>
      <c r="Q249" s="63"/>
      <c r="R249" s="63"/>
      <c r="S249" s="63"/>
    </row>
    <row r="250" spans="1:19">
      <c r="A250" s="70"/>
      <c r="B250" s="70"/>
      <c r="C250" s="66"/>
      <c r="D250" s="58"/>
      <c r="E250" s="49"/>
      <c r="F250" s="58"/>
      <c r="G250" s="26" t="s">
        <v>371</v>
      </c>
      <c r="H250" s="26">
        <v>0.40610000000000002</v>
      </c>
      <c r="I250" s="26">
        <v>0</v>
      </c>
      <c r="J250" s="26">
        <v>0</v>
      </c>
      <c r="K250" s="26">
        <v>1</v>
      </c>
      <c r="L250" s="68"/>
      <c r="M250" s="63"/>
      <c r="N250" s="70"/>
      <c r="O250" s="63"/>
      <c r="P250" s="63"/>
      <c r="Q250" s="63"/>
      <c r="R250" s="63"/>
      <c r="S250" s="63"/>
    </row>
    <row r="251" spans="1:19">
      <c r="A251" s="70"/>
      <c r="B251" s="70"/>
      <c r="C251" s="66"/>
      <c r="D251" s="58"/>
      <c r="E251" s="49"/>
      <c r="F251" s="58"/>
      <c r="G251" s="26" t="s">
        <v>372</v>
      </c>
      <c r="H251" s="26">
        <v>0.40899999999999997</v>
      </c>
      <c r="I251" s="26">
        <v>0</v>
      </c>
      <c r="J251" s="26">
        <v>0</v>
      </c>
      <c r="K251" s="26">
        <v>1</v>
      </c>
      <c r="L251" s="68"/>
      <c r="M251" s="63"/>
      <c r="N251" s="70"/>
      <c r="O251" s="63"/>
      <c r="P251" s="63"/>
      <c r="Q251" s="63"/>
      <c r="R251" s="63"/>
      <c r="S251" s="63"/>
    </row>
    <row r="252" spans="1:19">
      <c r="A252" s="71"/>
      <c r="B252" s="71"/>
      <c r="C252" s="67"/>
      <c r="D252" s="59"/>
      <c r="E252" s="50"/>
      <c r="F252" s="59"/>
      <c r="G252" s="26" t="s">
        <v>373</v>
      </c>
      <c r="H252" s="26">
        <v>0.4108</v>
      </c>
      <c r="I252" s="26">
        <v>0</v>
      </c>
      <c r="J252" s="26">
        <v>0</v>
      </c>
      <c r="K252" s="26">
        <v>1</v>
      </c>
      <c r="L252" s="68"/>
      <c r="M252" s="63"/>
      <c r="N252" s="71"/>
      <c r="O252" s="63"/>
      <c r="P252" s="63"/>
      <c r="Q252" s="63"/>
      <c r="R252" s="63"/>
      <c r="S252" s="63"/>
    </row>
    <row r="253" spans="1:19">
      <c r="G253" s="28" t="s">
        <v>45</v>
      </c>
      <c r="H253" s="27">
        <f t="shared" ref="H253:R253" si="0">AVERAGE(H3:H252)</f>
        <v>0.39466600000000018</v>
      </c>
      <c r="I253" s="37">
        <f t="shared" si="0"/>
        <v>0.08</v>
      </c>
      <c r="J253" s="37">
        <f t="shared" si="0"/>
        <v>0.62</v>
      </c>
      <c r="K253" s="37">
        <f t="shared" si="0"/>
        <v>0.9</v>
      </c>
      <c r="L253" s="37">
        <f t="shared" si="0"/>
        <v>0.61999999999999988</v>
      </c>
      <c r="M253" s="37">
        <f t="shared" si="0"/>
        <v>2.84</v>
      </c>
      <c r="N253" s="37">
        <f t="shared" si="0"/>
        <v>2.1800000000000002</v>
      </c>
      <c r="O253" s="37">
        <f t="shared" si="0"/>
        <v>2.96</v>
      </c>
      <c r="P253" s="27">
        <f t="shared" si="0"/>
        <v>1.82</v>
      </c>
      <c r="Q253" s="37">
        <f t="shared" si="0"/>
        <v>50.061060000000005</v>
      </c>
      <c r="R253" s="36">
        <f t="shared" si="0"/>
        <v>0.97499599999999997</v>
      </c>
      <c r="S253" s="37">
        <f>AVERAGEIF(S3:S252, "&lt;&gt;0")</f>
        <v>2.1878888888888888</v>
      </c>
    </row>
    <row r="254" spans="1:19" ht="31.2">
      <c r="H254" s="7" t="s">
        <v>101</v>
      </c>
      <c r="I254" s="7" t="s">
        <v>102</v>
      </c>
      <c r="J254" s="7" t="s">
        <v>103</v>
      </c>
      <c r="K254" s="7" t="s">
        <v>104</v>
      </c>
      <c r="L254" s="7" t="s">
        <v>105</v>
      </c>
      <c r="M254" s="7" t="s">
        <v>106</v>
      </c>
      <c r="N254" s="7" t="s">
        <v>107</v>
      </c>
      <c r="O254" s="7" t="s">
        <v>109</v>
      </c>
      <c r="P254" s="7" t="s">
        <v>110</v>
      </c>
      <c r="Q254" s="7" t="s">
        <v>112</v>
      </c>
      <c r="R254" s="7" t="s">
        <v>113</v>
      </c>
      <c r="S254" s="7" t="s">
        <v>114</v>
      </c>
    </row>
    <row r="255" spans="1:19">
      <c r="M255" s="29" t="s">
        <v>108</v>
      </c>
      <c r="N255" s="29" t="s">
        <v>108</v>
      </c>
      <c r="O255" s="29" t="s">
        <v>108</v>
      </c>
      <c r="P255" s="29" t="s">
        <v>111</v>
      </c>
    </row>
    <row r="256" spans="1:19">
      <c r="M256" s="32">
        <f>(M253/3)*100</f>
        <v>94.666666666666671</v>
      </c>
      <c r="N256" s="32">
        <f>(N253/3)*100</f>
        <v>72.666666666666671</v>
      </c>
      <c r="O256" s="32">
        <f>(O253/3)*100</f>
        <v>98.666666666666671</v>
      </c>
      <c r="P256" s="32">
        <f>(P253/2)*100</f>
        <v>91</v>
      </c>
    </row>
    <row r="257" spans="7:20" ht="51.6" customHeight="1">
      <c r="G257" s="4" t="s">
        <v>9</v>
      </c>
      <c r="H257" s="4" t="s">
        <v>101</v>
      </c>
      <c r="I257" s="4" t="s">
        <v>102</v>
      </c>
      <c r="J257" s="4" t="s">
        <v>103</v>
      </c>
      <c r="K257" s="4" t="s">
        <v>104</v>
      </c>
      <c r="L257" s="4" t="s">
        <v>105</v>
      </c>
      <c r="M257" s="4" t="s">
        <v>375</v>
      </c>
      <c r="N257" s="4" t="s">
        <v>376</v>
      </c>
      <c r="O257" s="4" t="s">
        <v>377</v>
      </c>
      <c r="P257" s="4" t="s">
        <v>378</v>
      </c>
      <c r="Q257" s="4" t="s">
        <v>112</v>
      </c>
      <c r="R257" s="4" t="s">
        <v>113</v>
      </c>
      <c r="S257" s="4" t="s">
        <v>114</v>
      </c>
      <c r="T257" s="2" t="s">
        <v>523</v>
      </c>
    </row>
    <row r="258" spans="7:20" ht="60" customHeight="1">
      <c r="G258" s="38" t="s">
        <v>1</v>
      </c>
      <c r="H258" s="39">
        <f>AVERAGE(H3:H52)</f>
        <v>0.42107199999999984</v>
      </c>
      <c r="I258" s="39">
        <f t="shared" ref="I258:K258" si="1">AVERAGE(I3:I52)</f>
        <v>0.1</v>
      </c>
      <c r="J258" s="39">
        <f t="shared" si="1"/>
        <v>0.52</v>
      </c>
      <c r="K258" s="39">
        <f t="shared" si="1"/>
        <v>0.8</v>
      </c>
      <c r="L258" s="39">
        <f>AVERAGE(L3:L52)</f>
        <v>0.51999999999999991</v>
      </c>
      <c r="M258" s="39">
        <f t="shared" ref="M258:R258" si="2">AVERAGE(M3:M52)</f>
        <v>2.9</v>
      </c>
      <c r="N258" s="39">
        <f t="shared" si="2"/>
        <v>2</v>
      </c>
      <c r="O258" s="39">
        <f t="shared" si="2"/>
        <v>2.9</v>
      </c>
      <c r="P258" s="39">
        <f t="shared" si="2"/>
        <v>1.8</v>
      </c>
      <c r="Q258" s="39">
        <f t="shared" si="2"/>
        <v>30.504100000000001</v>
      </c>
      <c r="R258" s="39">
        <f t="shared" si="2"/>
        <v>0.99178000000000011</v>
      </c>
      <c r="S258" s="39">
        <f>AVERAGEIF(S2:S52, "&lt;&gt;0")</f>
        <v>1.84</v>
      </c>
      <c r="T258" s="3">
        <v>1</v>
      </c>
    </row>
    <row r="259" spans="7:20" ht="65.400000000000006" customHeight="1">
      <c r="G259" s="38" t="s">
        <v>25</v>
      </c>
      <c r="H259" s="39">
        <f>AVERAGE(H53:H102)</f>
        <v>0.39649400000000007</v>
      </c>
      <c r="I259" s="39">
        <f t="shared" ref="I259:K259" si="3">AVERAGE(I53:I102)</f>
        <v>0.08</v>
      </c>
      <c r="J259" s="39">
        <f t="shared" si="3"/>
        <v>0.54</v>
      </c>
      <c r="K259" s="39">
        <f t="shared" si="3"/>
        <v>0.9</v>
      </c>
      <c r="L259" s="39">
        <f>AVERAGE(L53:L102)</f>
        <v>0.54</v>
      </c>
      <c r="M259" s="39">
        <f t="shared" ref="M259:R259" si="4">AVERAGE(M53:M102)</f>
        <v>2.2999999999999998</v>
      </c>
      <c r="N259" s="39">
        <f t="shared" si="4"/>
        <v>1.4</v>
      </c>
      <c r="O259" s="39">
        <f t="shared" si="4"/>
        <v>2.9</v>
      </c>
      <c r="P259" s="39">
        <f t="shared" si="4"/>
        <v>1.8</v>
      </c>
      <c r="Q259" s="39">
        <f t="shared" si="4"/>
        <v>62.061699999999995</v>
      </c>
      <c r="R259" s="39">
        <f t="shared" si="4"/>
        <v>0.68950000000000011</v>
      </c>
      <c r="S259" s="40" t="s">
        <v>374</v>
      </c>
      <c r="T259" s="3">
        <v>0</v>
      </c>
    </row>
    <row r="260" spans="7:20" ht="68.400000000000006" customHeight="1">
      <c r="G260" s="38" t="s">
        <v>32</v>
      </c>
      <c r="H260" s="39">
        <f>AVERAGE(H103:H152)</f>
        <v>0.41095399999999999</v>
      </c>
      <c r="I260" s="39">
        <f t="shared" ref="I260:K260" si="5">AVERAGE(I103:I152)</f>
        <v>0.08</v>
      </c>
      <c r="J260" s="39">
        <f t="shared" si="5"/>
        <v>0.6</v>
      </c>
      <c r="K260" s="39">
        <f t="shared" si="5"/>
        <v>0.8</v>
      </c>
      <c r="L260" s="39">
        <f>AVERAGE(L103:L152)</f>
        <v>0.6</v>
      </c>
      <c r="M260" s="39">
        <f t="shared" ref="M260:R260" si="6">AVERAGE(M103:M152)</f>
        <v>3</v>
      </c>
      <c r="N260" s="39">
        <f t="shared" si="6"/>
        <v>2.1</v>
      </c>
      <c r="O260" s="39">
        <f t="shared" si="6"/>
        <v>3</v>
      </c>
      <c r="P260" s="39">
        <f t="shared" si="6"/>
        <v>1.7</v>
      </c>
      <c r="Q260" s="39">
        <f t="shared" si="6"/>
        <v>49.918899999999994</v>
      </c>
      <c r="R260" s="39">
        <f t="shared" si="6"/>
        <v>1.32385</v>
      </c>
      <c r="S260" s="39">
        <f>AVERAGEIF(S103:S152, "&lt;&gt;0")</f>
        <v>2.0859999999999999</v>
      </c>
      <c r="T260" s="3">
        <v>1</v>
      </c>
    </row>
    <row r="261" spans="7:20" ht="72" customHeight="1">
      <c r="G261" s="38" t="s">
        <v>33</v>
      </c>
      <c r="H261" s="39">
        <f>AVERAGE(H153:H202)</f>
        <v>0.37872400000000001</v>
      </c>
      <c r="I261" s="39">
        <f t="shared" ref="I261:K261" si="7">AVERAGE(I153:I202)</f>
        <v>0.06</v>
      </c>
      <c r="J261" s="39">
        <f t="shared" si="7"/>
        <v>0.76</v>
      </c>
      <c r="K261" s="39">
        <f t="shared" si="7"/>
        <v>1</v>
      </c>
      <c r="L261" s="39">
        <f>AVERAGE(L153:L202)</f>
        <v>0.76</v>
      </c>
      <c r="M261" s="39">
        <f t="shared" ref="M261:R261" si="8">AVERAGE(M153:M202)</f>
        <v>3</v>
      </c>
      <c r="N261" s="39">
        <f t="shared" si="8"/>
        <v>2.7</v>
      </c>
      <c r="O261" s="39">
        <f t="shared" si="8"/>
        <v>3</v>
      </c>
      <c r="P261" s="39">
        <f t="shared" si="8"/>
        <v>2</v>
      </c>
      <c r="Q261" s="39">
        <f t="shared" si="8"/>
        <v>30.507999999999999</v>
      </c>
      <c r="R261" s="39">
        <f t="shared" si="8"/>
        <v>0.92785000000000006</v>
      </c>
      <c r="S261" s="40" t="s">
        <v>374</v>
      </c>
      <c r="T261" s="3">
        <v>0</v>
      </c>
    </row>
    <row r="262" spans="7:20" ht="71.400000000000006" customHeight="1">
      <c r="G262" s="38" t="s">
        <v>34</v>
      </c>
      <c r="H262" s="39">
        <f>AVERAGE(H203:H252)</f>
        <v>0.36608599999999974</v>
      </c>
      <c r="I262" s="39">
        <f t="shared" ref="I262:K262" si="9">AVERAGE(I203:I252)</f>
        <v>0.08</v>
      </c>
      <c r="J262" s="39">
        <f t="shared" si="9"/>
        <v>0.68</v>
      </c>
      <c r="K262" s="39">
        <f t="shared" si="9"/>
        <v>1</v>
      </c>
      <c r="L262" s="39">
        <f>AVERAGE(L203:L252)</f>
        <v>0.68</v>
      </c>
      <c r="M262" s="39">
        <f t="shared" ref="M262:R262" si="10">AVERAGE(M203:M252)</f>
        <v>3</v>
      </c>
      <c r="N262" s="39">
        <f t="shared" si="10"/>
        <v>2.7</v>
      </c>
      <c r="O262" s="39">
        <f t="shared" si="10"/>
        <v>3</v>
      </c>
      <c r="P262" s="39">
        <f t="shared" si="10"/>
        <v>1.8</v>
      </c>
      <c r="Q262" s="39">
        <f t="shared" si="10"/>
        <v>77.312600000000003</v>
      </c>
      <c r="R262" s="39">
        <f t="shared" si="10"/>
        <v>0.94200000000000017</v>
      </c>
      <c r="S262" s="39">
        <f>AVERAGEIF(S203:S252, "&lt;&gt;0")</f>
        <v>2.2521428571428572</v>
      </c>
      <c r="T262" s="3">
        <v>7</v>
      </c>
    </row>
    <row r="265" spans="7:20">
      <c r="G265" s="42" t="s">
        <v>524</v>
      </c>
      <c r="H265" t="s">
        <v>526</v>
      </c>
    </row>
    <row r="266" spans="7:20">
      <c r="H266" t="s">
        <v>527</v>
      </c>
    </row>
    <row r="267" spans="7:20">
      <c r="H267" t="s">
        <v>530</v>
      </c>
    </row>
  </sheetData>
  <mergeCells count="652">
    <mergeCell ref="N208:N212"/>
    <mergeCell ref="N213:N217"/>
    <mergeCell ref="N218:N222"/>
    <mergeCell ref="N113:N117"/>
    <mergeCell ref="N118:N122"/>
    <mergeCell ref="N123:N127"/>
    <mergeCell ref="N128:N132"/>
    <mergeCell ref="N243:N247"/>
    <mergeCell ref="N248:N252"/>
    <mergeCell ref="N163:N167"/>
    <mergeCell ref="N168:N172"/>
    <mergeCell ref="N178:N182"/>
    <mergeCell ref="N183:N187"/>
    <mergeCell ref="N188:N192"/>
    <mergeCell ref="N193:N197"/>
    <mergeCell ref="N203:N207"/>
    <mergeCell ref="N223:N227"/>
    <mergeCell ref="N228:N232"/>
    <mergeCell ref="N233:N237"/>
    <mergeCell ref="N238:N242"/>
    <mergeCell ref="N33:N37"/>
    <mergeCell ref="N38:N42"/>
    <mergeCell ref="N43:N47"/>
    <mergeCell ref="N48:N52"/>
    <mergeCell ref="N53:N57"/>
    <mergeCell ref="N108:N112"/>
    <mergeCell ref="N133:N137"/>
    <mergeCell ref="N58:N62"/>
    <mergeCell ref="N63:N67"/>
    <mergeCell ref="N68:N72"/>
    <mergeCell ref="N73:N77"/>
    <mergeCell ref="N78:N82"/>
    <mergeCell ref="N83:N87"/>
    <mergeCell ref="N88:N92"/>
    <mergeCell ref="N18:N22"/>
    <mergeCell ref="N23:N27"/>
    <mergeCell ref="Q28:Q32"/>
    <mergeCell ref="R28:R32"/>
    <mergeCell ref="S28:S32"/>
    <mergeCell ref="N28:N32"/>
    <mergeCell ref="A28:A32"/>
    <mergeCell ref="B28:B32"/>
    <mergeCell ref="C28:C32"/>
    <mergeCell ref="D28:D32"/>
    <mergeCell ref="F28:F32"/>
    <mergeCell ref="L28:L32"/>
    <mergeCell ref="M28:M32"/>
    <mergeCell ref="O28:O32"/>
    <mergeCell ref="P28:P32"/>
    <mergeCell ref="A18:A22"/>
    <mergeCell ref="D23:D27"/>
    <mergeCell ref="F23:F27"/>
    <mergeCell ref="Q18:Q22"/>
    <mergeCell ref="R18:R22"/>
    <mergeCell ref="S18:S22"/>
    <mergeCell ref="L23:L27"/>
    <mergeCell ref="M23:M27"/>
    <mergeCell ref="O23:O27"/>
    <mergeCell ref="A23:A27"/>
    <mergeCell ref="B23:B27"/>
    <mergeCell ref="C23:C27"/>
    <mergeCell ref="B18:B22"/>
    <mergeCell ref="C18:C22"/>
    <mergeCell ref="D18:D22"/>
    <mergeCell ref="F18:F22"/>
    <mergeCell ref="L18:L22"/>
    <mergeCell ref="M18:M22"/>
    <mergeCell ref="O18:O22"/>
    <mergeCell ref="P18:P22"/>
    <mergeCell ref="P23:P27"/>
    <mergeCell ref="Q23:Q27"/>
    <mergeCell ref="R23:R27"/>
    <mergeCell ref="S23:S27"/>
    <mergeCell ref="R3:R7"/>
    <mergeCell ref="R8:R12"/>
    <mergeCell ref="R13:R17"/>
    <mergeCell ref="S3:S7"/>
    <mergeCell ref="S8:S12"/>
    <mergeCell ref="S13:S17"/>
    <mergeCell ref="Q3:Q7"/>
    <mergeCell ref="Q8:Q12"/>
    <mergeCell ref="Q13:Q17"/>
    <mergeCell ref="P3:P7"/>
    <mergeCell ref="O13:O17"/>
    <mergeCell ref="P13:P17"/>
    <mergeCell ref="O3:O7"/>
    <mergeCell ref="O8:O12"/>
    <mergeCell ref="P8:P12"/>
    <mergeCell ref="B3:B7"/>
    <mergeCell ref="B8:B12"/>
    <mergeCell ref="B13:B17"/>
    <mergeCell ref="N3:N7"/>
    <mergeCell ref="N8:N12"/>
    <mergeCell ref="A3:A7"/>
    <mergeCell ref="C3:C7"/>
    <mergeCell ref="D3:D7"/>
    <mergeCell ref="F3:F7"/>
    <mergeCell ref="M13:M17"/>
    <mergeCell ref="L3:L7"/>
    <mergeCell ref="M3:M7"/>
    <mergeCell ref="M8:M12"/>
    <mergeCell ref="N13:N17"/>
    <mergeCell ref="A13:A17"/>
    <mergeCell ref="C13:C17"/>
    <mergeCell ref="D13:D17"/>
    <mergeCell ref="F13:F17"/>
    <mergeCell ref="L13:L17"/>
    <mergeCell ref="A8:A12"/>
    <mergeCell ref="C8:C12"/>
    <mergeCell ref="D8:D12"/>
    <mergeCell ref="F8:F12"/>
    <mergeCell ref="L8:L12"/>
    <mergeCell ref="Q33:Q37"/>
    <mergeCell ref="R33:R37"/>
    <mergeCell ref="S33:S37"/>
    <mergeCell ref="A38:A42"/>
    <mergeCell ref="B38:B42"/>
    <mergeCell ref="C38:C42"/>
    <mergeCell ref="D38:D42"/>
    <mergeCell ref="F38:F42"/>
    <mergeCell ref="L38:L42"/>
    <mergeCell ref="M38:M42"/>
    <mergeCell ref="O38:O42"/>
    <mergeCell ref="P38:P42"/>
    <mergeCell ref="Q38:Q42"/>
    <mergeCell ref="R38:R42"/>
    <mergeCell ref="S38:S42"/>
    <mergeCell ref="A33:A37"/>
    <mergeCell ref="B33:B37"/>
    <mergeCell ref="C33:C37"/>
    <mergeCell ref="D33:D37"/>
    <mergeCell ref="F33:F37"/>
    <mergeCell ref="L33:L37"/>
    <mergeCell ref="M33:M37"/>
    <mergeCell ref="O33:O37"/>
    <mergeCell ref="P33:P37"/>
    <mergeCell ref="A43:A47"/>
    <mergeCell ref="B43:B47"/>
    <mergeCell ref="C43:C47"/>
    <mergeCell ref="D43:D47"/>
    <mergeCell ref="F43:F47"/>
    <mergeCell ref="L43:L47"/>
    <mergeCell ref="M43:M47"/>
    <mergeCell ref="A48:A52"/>
    <mergeCell ref="B48:B52"/>
    <mergeCell ref="C48:C52"/>
    <mergeCell ref="D48:D52"/>
    <mergeCell ref="F48:F52"/>
    <mergeCell ref="L48:L52"/>
    <mergeCell ref="M48:M52"/>
    <mergeCell ref="O43:O47"/>
    <mergeCell ref="P43:P47"/>
    <mergeCell ref="Q43:Q47"/>
    <mergeCell ref="R43:R47"/>
    <mergeCell ref="S43:S47"/>
    <mergeCell ref="O48:O52"/>
    <mergeCell ref="P48:P52"/>
    <mergeCell ref="Q48:Q52"/>
    <mergeCell ref="R48:R52"/>
    <mergeCell ref="S48:S52"/>
    <mergeCell ref="P58:P62"/>
    <mergeCell ref="Q58:Q62"/>
    <mergeCell ref="R58:R62"/>
    <mergeCell ref="S58:S62"/>
    <mergeCell ref="A53:A57"/>
    <mergeCell ref="B53:B57"/>
    <mergeCell ref="C53:C57"/>
    <mergeCell ref="D53:D57"/>
    <mergeCell ref="F53:F57"/>
    <mergeCell ref="A58:A62"/>
    <mergeCell ref="B58:B62"/>
    <mergeCell ref="C58:C62"/>
    <mergeCell ref="D58:D62"/>
    <mergeCell ref="F58:F62"/>
    <mergeCell ref="L58:L62"/>
    <mergeCell ref="M58:M62"/>
    <mergeCell ref="O58:O62"/>
    <mergeCell ref="L53:L57"/>
    <mergeCell ref="M53:M57"/>
    <mergeCell ref="O53:O57"/>
    <mergeCell ref="P53:P57"/>
    <mergeCell ref="Q53:Q57"/>
    <mergeCell ref="R53:R57"/>
    <mergeCell ref="S53:S57"/>
    <mergeCell ref="Q68:Q72"/>
    <mergeCell ref="R68:R72"/>
    <mergeCell ref="S68:S72"/>
    <mergeCell ref="O63:O67"/>
    <mergeCell ref="P63:P67"/>
    <mergeCell ref="Q63:Q67"/>
    <mergeCell ref="R63:R67"/>
    <mergeCell ref="S63:S67"/>
    <mergeCell ref="A63:A67"/>
    <mergeCell ref="B63:B67"/>
    <mergeCell ref="C63:C67"/>
    <mergeCell ref="D63:D67"/>
    <mergeCell ref="F63:F67"/>
    <mergeCell ref="L63:L67"/>
    <mergeCell ref="M63:M67"/>
    <mergeCell ref="Q78:Q82"/>
    <mergeCell ref="R78:R82"/>
    <mergeCell ref="S78:S82"/>
    <mergeCell ref="P73:P77"/>
    <mergeCell ref="Q73:Q77"/>
    <mergeCell ref="R73:R77"/>
    <mergeCell ref="S73:S77"/>
    <mergeCell ref="A68:A72"/>
    <mergeCell ref="B68:B72"/>
    <mergeCell ref="C68:C72"/>
    <mergeCell ref="D68:D72"/>
    <mergeCell ref="F68:F72"/>
    <mergeCell ref="A73:A77"/>
    <mergeCell ref="B73:B77"/>
    <mergeCell ref="C73:C77"/>
    <mergeCell ref="D73:D77"/>
    <mergeCell ref="F73:F77"/>
    <mergeCell ref="L73:L77"/>
    <mergeCell ref="M73:M77"/>
    <mergeCell ref="O73:O77"/>
    <mergeCell ref="L68:L72"/>
    <mergeCell ref="M68:M72"/>
    <mergeCell ref="O68:O72"/>
    <mergeCell ref="P68:P72"/>
    <mergeCell ref="A78:A82"/>
    <mergeCell ref="B78:B82"/>
    <mergeCell ref="C78:C82"/>
    <mergeCell ref="D78:D82"/>
    <mergeCell ref="F78:F82"/>
    <mergeCell ref="L78:L82"/>
    <mergeCell ref="M78:M82"/>
    <mergeCell ref="O78:O82"/>
    <mergeCell ref="P78:P82"/>
    <mergeCell ref="R83:R87"/>
    <mergeCell ref="S83:S87"/>
    <mergeCell ref="A88:A92"/>
    <mergeCell ref="B88:B92"/>
    <mergeCell ref="C88:C92"/>
    <mergeCell ref="D88:D92"/>
    <mergeCell ref="F88:F92"/>
    <mergeCell ref="L88:L92"/>
    <mergeCell ref="M88:M92"/>
    <mergeCell ref="O88:O92"/>
    <mergeCell ref="P88:P92"/>
    <mergeCell ref="Q88:Q92"/>
    <mergeCell ref="R88:R92"/>
    <mergeCell ref="S88:S92"/>
    <mergeCell ref="A83:A87"/>
    <mergeCell ref="B83:B87"/>
    <mergeCell ref="C83:C87"/>
    <mergeCell ref="D83:D87"/>
    <mergeCell ref="F83:F87"/>
    <mergeCell ref="L83:L87"/>
    <mergeCell ref="M83:M87"/>
    <mergeCell ref="O83:O87"/>
    <mergeCell ref="P83:P87"/>
    <mergeCell ref="Q83:Q87"/>
    <mergeCell ref="Q93:Q97"/>
    <mergeCell ref="R93:R97"/>
    <mergeCell ref="S93:S97"/>
    <mergeCell ref="R98:R102"/>
    <mergeCell ref="S98:S102"/>
    <mergeCell ref="N98:N102"/>
    <mergeCell ref="A93:A97"/>
    <mergeCell ref="B93:B97"/>
    <mergeCell ref="C93:C97"/>
    <mergeCell ref="D93:D97"/>
    <mergeCell ref="F93:F97"/>
    <mergeCell ref="L93:L97"/>
    <mergeCell ref="M93:M97"/>
    <mergeCell ref="O93:O97"/>
    <mergeCell ref="P93:P97"/>
    <mergeCell ref="N93:N97"/>
    <mergeCell ref="Q103:Q107"/>
    <mergeCell ref="R103:R107"/>
    <mergeCell ref="S103:S107"/>
    <mergeCell ref="A98:A102"/>
    <mergeCell ref="B98:B102"/>
    <mergeCell ref="C98:C102"/>
    <mergeCell ref="D98:D102"/>
    <mergeCell ref="F98:F102"/>
    <mergeCell ref="L98:L102"/>
    <mergeCell ref="M98:M102"/>
    <mergeCell ref="A103:A107"/>
    <mergeCell ref="B103:B107"/>
    <mergeCell ref="C103:C107"/>
    <mergeCell ref="D103:D107"/>
    <mergeCell ref="F103:F107"/>
    <mergeCell ref="L103:L107"/>
    <mergeCell ref="M103:M107"/>
    <mergeCell ref="O103:O107"/>
    <mergeCell ref="P103:P107"/>
    <mergeCell ref="N103:N107"/>
    <mergeCell ref="O98:O102"/>
    <mergeCell ref="P98:P102"/>
    <mergeCell ref="Q98:Q102"/>
    <mergeCell ref="Q113:Q117"/>
    <mergeCell ref="R113:R117"/>
    <mergeCell ref="S113:S117"/>
    <mergeCell ref="A108:A112"/>
    <mergeCell ref="B108:B112"/>
    <mergeCell ref="C108:C112"/>
    <mergeCell ref="D108:D112"/>
    <mergeCell ref="F108:F112"/>
    <mergeCell ref="L108:L112"/>
    <mergeCell ref="M108:M112"/>
    <mergeCell ref="O108:O112"/>
    <mergeCell ref="P108:P112"/>
    <mergeCell ref="Q108:Q112"/>
    <mergeCell ref="R108:R112"/>
    <mergeCell ref="S108:S112"/>
    <mergeCell ref="A113:A117"/>
    <mergeCell ref="B113:B117"/>
    <mergeCell ref="C113:C117"/>
    <mergeCell ref="D113:D117"/>
    <mergeCell ref="F113:F117"/>
    <mergeCell ref="L113:L117"/>
    <mergeCell ref="M113:M117"/>
    <mergeCell ref="O113:O117"/>
    <mergeCell ref="P113:P117"/>
    <mergeCell ref="R118:R122"/>
    <mergeCell ref="S118:S122"/>
    <mergeCell ref="A123:A127"/>
    <mergeCell ref="B123:B127"/>
    <mergeCell ref="C123:C127"/>
    <mergeCell ref="D123:D127"/>
    <mergeCell ref="F123:F127"/>
    <mergeCell ref="L123:L127"/>
    <mergeCell ref="M123:M127"/>
    <mergeCell ref="O123:O127"/>
    <mergeCell ref="P123:P127"/>
    <mergeCell ref="Q123:Q127"/>
    <mergeCell ref="R123:R127"/>
    <mergeCell ref="S123:S127"/>
    <mergeCell ref="A118:A122"/>
    <mergeCell ref="B118:B122"/>
    <mergeCell ref="C118:C122"/>
    <mergeCell ref="D118:D122"/>
    <mergeCell ref="F118:F122"/>
    <mergeCell ref="L118:L122"/>
    <mergeCell ref="F128:F132"/>
    <mergeCell ref="L128:L132"/>
    <mergeCell ref="M128:M132"/>
    <mergeCell ref="O118:O122"/>
    <mergeCell ref="P118:P122"/>
    <mergeCell ref="Q118:Q122"/>
    <mergeCell ref="M118:M122"/>
    <mergeCell ref="O128:O132"/>
    <mergeCell ref="P128:P132"/>
    <mergeCell ref="Q128:Q132"/>
    <mergeCell ref="A138:A142"/>
    <mergeCell ref="B138:B142"/>
    <mergeCell ref="C138:C142"/>
    <mergeCell ref="D138:D142"/>
    <mergeCell ref="F138:F142"/>
    <mergeCell ref="L138:L142"/>
    <mergeCell ref="R128:R132"/>
    <mergeCell ref="S128:S132"/>
    <mergeCell ref="A133:A137"/>
    <mergeCell ref="B133:B137"/>
    <mergeCell ref="C133:C137"/>
    <mergeCell ref="D133:D137"/>
    <mergeCell ref="F133:F137"/>
    <mergeCell ref="L133:L137"/>
    <mergeCell ref="M133:M137"/>
    <mergeCell ref="O133:O137"/>
    <mergeCell ref="P133:P137"/>
    <mergeCell ref="Q133:Q137"/>
    <mergeCell ref="R133:R137"/>
    <mergeCell ref="S133:S137"/>
    <mergeCell ref="A128:A132"/>
    <mergeCell ref="B128:B132"/>
    <mergeCell ref="C128:C132"/>
    <mergeCell ref="D128:D132"/>
    <mergeCell ref="A143:A147"/>
    <mergeCell ref="B143:B147"/>
    <mergeCell ref="C143:C147"/>
    <mergeCell ref="D143:D147"/>
    <mergeCell ref="F143:F147"/>
    <mergeCell ref="L143:L147"/>
    <mergeCell ref="M143:M147"/>
    <mergeCell ref="O143:O147"/>
    <mergeCell ref="P143:P147"/>
    <mergeCell ref="N143:N147"/>
    <mergeCell ref="O138:O142"/>
    <mergeCell ref="P138:P142"/>
    <mergeCell ref="Q138:Q142"/>
    <mergeCell ref="M138:M142"/>
    <mergeCell ref="O148:O152"/>
    <mergeCell ref="P148:P152"/>
    <mergeCell ref="Q148:Q152"/>
    <mergeCell ref="R138:R142"/>
    <mergeCell ref="S138:S142"/>
    <mergeCell ref="Q143:Q147"/>
    <mergeCell ref="R143:R147"/>
    <mergeCell ref="S143:S147"/>
    <mergeCell ref="R148:R152"/>
    <mergeCell ref="S148:S152"/>
    <mergeCell ref="N148:N152"/>
    <mergeCell ref="N138:N142"/>
    <mergeCell ref="O158:O162"/>
    <mergeCell ref="P158:P162"/>
    <mergeCell ref="Q158:Q162"/>
    <mergeCell ref="Q153:Q157"/>
    <mergeCell ref="R153:R157"/>
    <mergeCell ref="S153:S157"/>
    <mergeCell ref="A148:A152"/>
    <mergeCell ref="B148:B152"/>
    <mergeCell ref="C148:C152"/>
    <mergeCell ref="D148:D152"/>
    <mergeCell ref="F148:F152"/>
    <mergeCell ref="L148:L152"/>
    <mergeCell ref="M148:M152"/>
    <mergeCell ref="N153:N157"/>
    <mergeCell ref="A153:A157"/>
    <mergeCell ref="B153:B157"/>
    <mergeCell ref="C153:C157"/>
    <mergeCell ref="D153:D157"/>
    <mergeCell ref="F153:F157"/>
    <mergeCell ref="L153:L157"/>
    <mergeCell ref="M153:M157"/>
    <mergeCell ref="O153:O157"/>
    <mergeCell ref="P153:P157"/>
    <mergeCell ref="R168:R172"/>
    <mergeCell ref="P173:P177"/>
    <mergeCell ref="Q173:Q177"/>
    <mergeCell ref="S158:S162"/>
    <mergeCell ref="A163:A167"/>
    <mergeCell ref="B163:B167"/>
    <mergeCell ref="C163:C167"/>
    <mergeCell ref="D163:D167"/>
    <mergeCell ref="F163:F167"/>
    <mergeCell ref="L163:L167"/>
    <mergeCell ref="M163:M167"/>
    <mergeCell ref="O163:O167"/>
    <mergeCell ref="P163:P167"/>
    <mergeCell ref="Q163:Q167"/>
    <mergeCell ref="R163:R167"/>
    <mergeCell ref="S163:S167"/>
    <mergeCell ref="A158:A162"/>
    <mergeCell ref="B158:B162"/>
    <mergeCell ref="C158:C162"/>
    <mergeCell ref="D158:D162"/>
    <mergeCell ref="F158:F162"/>
    <mergeCell ref="L158:L162"/>
    <mergeCell ref="M158:M162"/>
    <mergeCell ref="N158:N162"/>
    <mergeCell ref="A183:A187"/>
    <mergeCell ref="B183:B187"/>
    <mergeCell ref="C183:C187"/>
    <mergeCell ref="D183:D187"/>
    <mergeCell ref="F183:F187"/>
    <mergeCell ref="L183:L187"/>
    <mergeCell ref="A168:A172"/>
    <mergeCell ref="B168:B172"/>
    <mergeCell ref="C168:C172"/>
    <mergeCell ref="F168:F172"/>
    <mergeCell ref="D168:D172"/>
    <mergeCell ref="L168:L172"/>
    <mergeCell ref="A173:A177"/>
    <mergeCell ref="B173:B177"/>
    <mergeCell ref="C173:C177"/>
    <mergeCell ref="D173:D177"/>
    <mergeCell ref="R173:R177"/>
    <mergeCell ref="S173:S177"/>
    <mergeCell ref="F173:F177"/>
    <mergeCell ref="L173:L177"/>
    <mergeCell ref="M173:M177"/>
    <mergeCell ref="N173:N177"/>
    <mergeCell ref="O173:O177"/>
    <mergeCell ref="A178:A182"/>
    <mergeCell ref="B178:B182"/>
    <mergeCell ref="C178:C182"/>
    <mergeCell ref="D178:D182"/>
    <mergeCell ref="F178:F182"/>
    <mergeCell ref="L178:L182"/>
    <mergeCell ref="M178:M182"/>
    <mergeCell ref="O178:O182"/>
    <mergeCell ref="P178:P182"/>
    <mergeCell ref="A188:A192"/>
    <mergeCell ref="B188:B192"/>
    <mergeCell ref="C188:C192"/>
    <mergeCell ref="D188:D192"/>
    <mergeCell ref="F188:F192"/>
    <mergeCell ref="L188:L192"/>
    <mergeCell ref="M188:M192"/>
    <mergeCell ref="O188:O192"/>
    <mergeCell ref="P188:P192"/>
    <mergeCell ref="Q203:Q207"/>
    <mergeCell ref="R203:R207"/>
    <mergeCell ref="S203:S207"/>
    <mergeCell ref="A193:A197"/>
    <mergeCell ref="B193:B197"/>
    <mergeCell ref="C193:C197"/>
    <mergeCell ref="D193:D197"/>
    <mergeCell ref="F193:F197"/>
    <mergeCell ref="L193:L197"/>
    <mergeCell ref="M193:M197"/>
    <mergeCell ref="A203:A207"/>
    <mergeCell ref="B203:B207"/>
    <mergeCell ref="C203:C207"/>
    <mergeCell ref="D203:D207"/>
    <mergeCell ref="F203:F207"/>
    <mergeCell ref="L203:L207"/>
    <mergeCell ref="M203:M207"/>
    <mergeCell ref="O203:O207"/>
    <mergeCell ref="P203:P207"/>
    <mergeCell ref="O193:O197"/>
    <mergeCell ref="P193:P197"/>
    <mergeCell ref="Q193:Q197"/>
    <mergeCell ref="A198:A202"/>
    <mergeCell ref="B198:B202"/>
    <mergeCell ref="R208:R212"/>
    <mergeCell ref="S208:S212"/>
    <mergeCell ref="A213:A217"/>
    <mergeCell ref="B213:B217"/>
    <mergeCell ref="C213:C217"/>
    <mergeCell ref="D213:D217"/>
    <mergeCell ref="F213:F217"/>
    <mergeCell ref="L213:L217"/>
    <mergeCell ref="M213:M217"/>
    <mergeCell ref="O213:O217"/>
    <mergeCell ref="P213:P217"/>
    <mergeCell ref="Q213:Q217"/>
    <mergeCell ref="R213:R217"/>
    <mergeCell ref="S213:S217"/>
    <mergeCell ref="A208:A212"/>
    <mergeCell ref="B208:B212"/>
    <mergeCell ref="C208:C212"/>
    <mergeCell ref="D208:D212"/>
    <mergeCell ref="F208:F212"/>
    <mergeCell ref="L208:L212"/>
    <mergeCell ref="O208:O212"/>
    <mergeCell ref="P208:P212"/>
    <mergeCell ref="Q208:Q212"/>
    <mergeCell ref="M208:M212"/>
    <mergeCell ref="R218:R222"/>
    <mergeCell ref="S218:S222"/>
    <mergeCell ref="A223:A227"/>
    <mergeCell ref="B223:B227"/>
    <mergeCell ref="C223:C227"/>
    <mergeCell ref="D223:D227"/>
    <mergeCell ref="F223:F227"/>
    <mergeCell ref="L223:L227"/>
    <mergeCell ref="M223:M227"/>
    <mergeCell ref="O223:O227"/>
    <mergeCell ref="P223:P227"/>
    <mergeCell ref="Q223:Q227"/>
    <mergeCell ref="R223:R227"/>
    <mergeCell ref="S223:S227"/>
    <mergeCell ref="A218:A222"/>
    <mergeCell ref="B218:B222"/>
    <mergeCell ref="C218:C222"/>
    <mergeCell ref="D218:D222"/>
    <mergeCell ref="F218:F222"/>
    <mergeCell ref="L218:L222"/>
    <mergeCell ref="M218:M222"/>
    <mergeCell ref="D228:D232"/>
    <mergeCell ref="F228:F232"/>
    <mergeCell ref="L228:L232"/>
    <mergeCell ref="O218:O222"/>
    <mergeCell ref="P218:P222"/>
    <mergeCell ref="Q218:Q222"/>
    <mergeCell ref="O228:O232"/>
    <mergeCell ref="P228:P232"/>
    <mergeCell ref="Q228:Q232"/>
    <mergeCell ref="M228:M232"/>
    <mergeCell ref="Q248:Q252"/>
    <mergeCell ref="R248:R252"/>
    <mergeCell ref="S248:S252"/>
    <mergeCell ref="R238:R242"/>
    <mergeCell ref="S238:S242"/>
    <mergeCell ref="Q243:Q247"/>
    <mergeCell ref="R243:R247"/>
    <mergeCell ref="S243:S247"/>
    <mergeCell ref="O248:O252"/>
    <mergeCell ref="P248:P252"/>
    <mergeCell ref="O243:O247"/>
    <mergeCell ref="P243:P247"/>
    <mergeCell ref="O238:O242"/>
    <mergeCell ref="P238:P242"/>
    <mergeCell ref="Q238:Q242"/>
    <mergeCell ref="R228:R232"/>
    <mergeCell ref="S228:S232"/>
    <mergeCell ref="Q233:Q237"/>
    <mergeCell ref="R233:R237"/>
    <mergeCell ref="S233:S237"/>
    <mergeCell ref="A238:A242"/>
    <mergeCell ref="B238:B242"/>
    <mergeCell ref="C238:C242"/>
    <mergeCell ref="D238:D242"/>
    <mergeCell ref="F238:F242"/>
    <mergeCell ref="L238:L242"/>
    <mergeCell ref="M238:M242"/>
    <mergeCell ref="A233:A237"/>
    <mergeCell ref="B233:B237"/>
    <mergeCell ref="C233:C237"/>
    <mergeCell ref="D233:D237"/>
    <mergeCell ref="F233:F237"/>
    <mergeCell ref="L233:L237"/>
    <mergeCell ref="M233:M237"/>
    <mergeCell ref="O233:O237"/>
    <mergeCell ref="P233:P237"/>
    <mergeCell ref="A228:A232"/>
    <mergeCell ref="B228:B232"/>
    <mergeCell ref="C228:C232"/>
    <mergeCell ref="A248:A252"/>
    <mergeCell ref="B248:B252"/>
    <mergeCell ref="C248:C252"/>
    <mergeCell ref="D248:D252"/>
    <mergeCell ref="F248:F252"/>
    <mergeCell ref="L248:L252"/>
    <mergeCell ref="M248:M252"/>
    <mergeCell ref="A243:A247"/>
    <mergeCell ref="B243:B247"/>
    <mergeCell ref="C243:C247"/>
    <mergeCell ref="D243:D247"/>
    <mergeCell ref="F243:F247"/>
    <mergeCell ref="L243:L247"/>
    <mergeCell ref="M243:M247"/>
    <mergeCell ref="C198:C202"/>
    <mergeCell ref="D198:D202"/>
    <mergeCell ref="F198:F202"/>
    <mergeCell ref="L198:L202"/>
    <mergeCell ref="M198:M202"/>
    <mergeCell ref="N198:N202"/>
    <mergeCell ref="O198:O202"/>
    <mergeCell ref="P198:P202"/>
    <mergeCell ref="Q198:Q202"/>
    <mergeCell ref="E3:E7"/>
    <mergeCell ref="E8:E12"/>
    <mergeCell ref="R198:R202"/>
    <mergeCell ref="S198:S202"/>
    <mergeCell ref="O183:O187"/>
    <mergeCell ref="P183:P187"/>
    <mergeCell ref="Q183:Q187"/>
    <mergeCell ref="M183:M187"/>
    <mergeCell ref="R183:R187"/>
    <mergeCell ref="S183:S187"/>
    <mergeCell ref="Q188:Q192"/>
    <mergeCell ref="R188:R192"/>
    <mergeCell ref="S188:S192"/>
    <mergeCell ref="R193:R197"/>
    <mergeCell ref="S193:S197"/>
    <mergeCell ref="S168:S172"/>
    <mergeCell ref="Q178:Q182"/>
    <mergeCell ref="R178:R182"/>
    <mergeCell ref="S178:S182"/>
    <mergeCell ref="R158:R162"/>
    <mergeCell ref="M168:M172"/>
    <mergeCell ref="O168:O172"/>
    <mergeCell ref="P168:P172"/>
    <mergeCell ref="Q168:Q172"/>
  </mergeCells>
  <hyperlinks>
    <hyperlink ref="L2" r:id="rId1" xr:uid="{16A9E616-1E92-46C2-9B51-2697CA1BA6CB}"/>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B32C-34DC-43BF-AAC8-3CC0D6EE1754}">
  <dimension ref="A1:T266"/>
  <sheetViews>
    <sheetView topLeftCell="A118" zoomScale="10" zoomScaleNormal="10" workbookViewId="0">
      <selection activeCell="AY255" sqref="AY255"/>
    </sheetView>
  </sheetViews>
  <sheetFormatPr defaultColWidth="11.19921875" defaultRowHeight="15.6"/>
  <cols>
    <col min="3" max="3" width="14.796875" customWidth="1"/>
    <col min="4" max="5" width="20.09765625" customWidth="1"/>
    <col min="6" max="6" width="22.3984375" customWidth="1"/>
    <col min="7" max="7" width="18.59765625" customWidth="1"/>
    <col min="8" max="8" width="12.3984375" bestFit="1" customWidth="1"/>
    <col min="9" max="9" width="20.59765625" bestFit="1" customWidth="1"/>
    <col min="10" max="10" width="20.59765625" customWidth="1"/>
    <col min="11" max="11" width="20.59765625" bestFit="1" customWidth="1"/>
    <col min="12" max="12" width="24.19921875" customWidth="1"/>
    <col min="13" max="14" width="29.3984375" customWidth="1"/>
    <col min="15" max="15" width="22.5" customWidth="1"/>
    <col min="16" max="16" width="22.3984375" customWidth="1"/>
    <col min="17" max="17" width="13.19921875" customWidth="1"/>
  </cols>
  <sheetData>
    <row r="1" spans="1:19" ht="54.6" customHeight="1">
      <c r="G1" s="28"/>
      <c r="H1" s="35"/>
      <c r="I1" s="37"/>
      <c r="J1" s="35"/>
      <c r="K1" s="37"/>
      <c r="L1" s="35"/>
      <c r="M1" s="37"/>
      <c r="N1" s="35"/>
      <c r="O1" s="37"/>
      <c r="P1" s="35"/>
      <c r="Q1" s="37"/>
      <c r="R1" s="35"/>
      <c r="S1" s="27"/>
    </row>
    <row r="2" spans="1:19" ht="91.8" customHeight="1">
      <c r="A2" s="2" t="s">
        <v>6</v>
      </c>
      <c r="B2" s="2" t="s">
        <v>13</v>
      </c>
      <c r="C2" s="6" t="s">
        <v>571</v>
      </c>
      <c r="D2" s="2" t="s">
        <v>570</v>
      </c>
      <c r="E2" s="2" t="s">
        <v>573</v>
      </c>
      <c r="F2" s="2" t="s">
        <v>572</v>
      </c>
      <c r="G2" s="4" t="s">
        <v>7</v>
      </c>
      <c r="H2" s="4" t="s">
        <v>127</v>
      </c>
      <c r="I2" s="43" t="s">
        <v>17</v>
      </c>
      <c r="J2" s="44" t="s">
        <v>18</v>
      </c>
      <c r="K2" s="43" t="s">
        <v>19</v>
      </c>
      <c r="L2" s="45" t="s">
        <v>8</v>
      </c>
      <c r="M2" s="8" t="s">
        <v>84</v>
      </c>
      <c r="N2" s="8" t="s">
        <v>193</v>
      </c>
      <c r="O2" s="8" t="s">
        <v>4</v>
      </c>
      <c r="P2" s="8" t="s">
        <v>5</v>
      </c>
      <c r="Q2" s="8" t="s">
        <v>12</v>
      </c>
      <c r="R2" s="8" t="s">
        <v>20</v>
      </c>
      <c r="S2" s="8" t="s">
        <v>21</v>
      </c>
    </row>
    <row r="3" spans="1:19">
      <c r="A3" s="72">
        <v>1</v>
      </c>
      <c r="B3" s="60" t="s">
        <v>379</v>
      </c>
      <c r="C3" s="75" t="s">
        <v>10</v>
      </c>
      <c r="D3" s="60" t="s">
        <v>35</v>
      </c>
      <c r="E3" s="60" t="s">
        <v>35</v>
      </c>
      <c r="F3" s="60" t="s">
        <v>380</v>
      </c>
      <c r="G3" s="25" t="s">
        <v>65</v>
      </c>
      <c r="H3" s="33">
        <v>0.25669999999999998</v>
      </c>
      <c r="I3" s="25">
        <v>1</v>
      </c>
      <c r="J3" s="25">
        <v>1</v>
      </c>
      <c r="K3" s="25">
        <v>1</v>
      </c>
      <c r="L3" s="78">
        <v>1</v>
      </c>
      <c r="M3" s="64">
        <v>3</v>
      </c>
      <c r="N3" s="72">
        <v>3</v>
      </c>
      <c r="O3" s="64">
        <v>3</v>
      </c>
      <c r="P3" s="64">
        <v>2</v>
      </c>
      <c r="Q3" s="64">
        <v>7.98</v>
      </c>
      <c r="R3" s="64">
        <v>1.5</v>
      </c>
      <c r="S3" s="64">
        <v>0</v>
      </c>
    </row>
    <row r="4" spans="1:19">
      <c r="A4" s="73"/>
      <c r="B4" s="61"/>
      <c r="C4" s="76"/>
      <c r="D4" s="61"/>
      <c r="E4" s="61"/>
      <c r="F4" s="61"/>
      <c r="G4" s="25" t="s">
        <v>66</v>
      </c>
      <c r="H4" s="33">
        <v>0.27739999999999998</v>
      </c>
      <c r="I4" s="25">
        <v>1</v>
      </c>
      <c r="J4" s="25">
        <v>1</v>
      </c>
      <c r="K4" s="25">
        <v>1</v>
      </c>
      <c r="L4" s="78"/>
      <c r="M4" s="64"/>
      <c r="N4" s="73"/>
      <c r="O4" s="64"/>
      <c r="P4" s="64"/>
      <c r="Q4" s="64"/>
      <c r="R4" s="64"/>
      <c r="S4" s="64"/>
    </row>
    <row r="5" spans="1:19">
      <c r="A5" s="73"/>
      <c r="B5" s="61"/>
      <c r="C5" s="76"/>
      <c r="D5" s="61"/>
      <c r="E5" s="61"/>
      <c r="F5" s="61"/>
      <c r="G5" s="25" t="s">
        <v>148</v>
      </c>
      <c r="H5" s="33">
        <v>0.32579999999999998</v>
      </c>
      <c r="I5" s="25">
        <v>0</v>
      </c>
      <c r="J5" s="25">
        <v>1</v>
      </c>
      <c r="K5" s="25">
        <v>1</v>
      </c>
      <c r="L5" s="78"/>
      <c r="M5" s="64"/>
      <c r="N5" s="73"/>
      <c r="O5" s="64"/>
      <c r="P5" s="64"/>
      <c r="Q5" s="64"/>
      <c r="R5" s="64"/>
      <c r="S5" s="64"/>
    </row>
    <row r="6" spans="1:19">
      <c r="A6" s="73"/>
      <c r="B6" s="61"/>
      <c r="C6" s="76"/>
      <c r="D6" s="61"/>
      <c r="E6" s="61"/>
      <c r="F6" s="61"/>
      <c r="G6" s="25" t="s">
        <v>68</v>
      </c>
      <c r="H6" s="33">
        <v>0.33040000000000003</v>
      </c>
      <c r="I6" s="25">
        <v>0</v>
      </c>
      <c r="J6" s="25">
        <v>1</v>
      </c>
      <c r="K6" s="25">
        <v>1</v>
      </c>
      <c r="L6" s="78"/>
      <c r="M6" s="64"/>
      <c r="N6" s="73"/>
      <c r="O6" s="64"/>
      <c r="P6" s="64"/>
      <c r="Q6" s="64"/>
      <c r="R6" s="64"/>
      <c r="S6" s="64"/>
    </row>
    <row r="7" spans="1:19">
      <c r="A7" s="74"/>
      <c r="B7" s="62"/>
      <c r="C7" s="77"/>
      <c r="D7" s="62"/>
      <c r="E7" s="62"/>
      <c r="F7" s="62"/>
      <c r="G7" s="25" t="s">
        <v>69</v>
      </c>
      <c r="H7" s="33">
        <v>0.33100000000000002</v>
      </c>
      <c r="I7" s="25">
        <v>0</v>
      </c>
      <c r="J7" s="25">
        <v>1</v>
      </c>
      <c r="K7" s="25">
        <v>1</v>
      </c>
      <c r="L7" s="78"/>
      <c r="M7" s="64"/>
      <c r="N7" s="74"/>
      <c r="O7" s="64"/>
      <c r="P7" s="64"/>
      <c r="Q7" s="64"/>
      <c r="R7" s="64"/>
      <c r="S7" s="64"/>
    </row>
    <row r="8" spans="1:19">
      <c r="A8" s="69">
        <v>2</v>
      </c>
      <c r="B8" s="60" t="s">
        <v>379</v>
      </c>
      <c r="C8" s="65" t="s">
        <v>10</v>
      </c>
      <c r="D8" s="57" t="s">
        <v>36</v>
      </c>
      <c r="E8" s="57" t="s">
        <v>576</v>
      </c>
      <c r="F8" s="57" t="s">
        <v>381</v>
      </c>
      <c r="G8" s="26" t="s">
        <v>71</v>
      </c>
      <c r="H8" s="34">
        <v>0.36480000000000001</v>
      </c>
      <c r="I8" s="26">
        <v>0</v>
      </c>
      <c r="J8" s="26">
        <v>1</v>
      </c>
      <c r="K8" s="26">
        <v>1</v>
      </c>
      <c r="L8" s="68">
        <v>0.8</v>
      </c>
      <c r="M8" s="63">
        <v>3</v>
      </c>
      <c r="N8" s="69">
        <v>3</v>
      </c>
      <c r="O8" s="63">
        <v>3</v>
      </c>
      <c r="P8" s="63">
        <v>2</v>
      </c>
      <c r="Q8" s="63">
        <v>8.69</v>
      </c>
      <c r="R8" s="63">
        <v>1.1519999999999999</v>
      </c>
      <c r="S8" s="63">
        <v>0</v>
      </c>
    </row>
    <row r="9" spans="1:19">
      <c r="A9" s="70"/>
      <c r="B9" s="61"/>
      <c r="C9" s="66"/>
      <c r="D9" s="58"/>
      <c r="E9" s="58"/>
      <c r="F9" s="58"/>
      <c r="G9" s="26" t="s">
        <v>70</v>
      </c>
      <c r="H9" s="34">
        <v>0.37990000000000002</v>
      </c>
      <c r="I9" s="26">
        <v>0</v>
      </c>
      <c r="J9" s="26">
        <v>1</v>
      </c>
      <c r="K9" s="26">
        <v>1</v>
      </c>
      <c r="L9" s="68"/>
      <c r="M9" s="63"/>
      <c r="N9" s="70"/>
      <c r="O9" s="63"/>
      <c r="P9" s="63"/>
      <c r="Q9" s="63"/>
      <c r="R9" s="63"/>
      <c r="S9" s="63"/>
    </row>
    <row r="10" spans="1:19">
      <c r="A10" s="70"/>
      <c r="B10" s="61"/>
      <c r="C10" s="66"/>
      <c r="D10" s="58"/>
      <c r="E10" s="58"/>
      <c r="F10" s="58"/>
      <c r="G10" s="26" t="s">
        <v>72</v>
      </c>
      <c r="H10" s="34">
        <v>0.39729999999999999</v>
      </c>
      <c r="I10" s="26">
        <v>0</v>
      </c>
      <c r="J10" s="31">
        <v>1</v>
      </c>
      <c r="K10" s="26">
        <v>1</v>
      </c>
      <c r="L10" s="68"/>
      <c r="M10" s="63"/>
      <c r="N10" s="70"/>
      <c r="O10" s="63"/>
      <c r="P10" s="63"/>
      <c r="Q10" s="63"/>
      <c r="R10" s="63"/>
      <c r="S10" s="63"/>
    </row>
    <row r="11" spans="1:19">
      <c r="A11" s="70"/>
      <c r="B11" s="61"/>
      <c r="C11" s="66"/>
      <c r="D11" s="58"/>
      <c r="E11" s="58"/>
      <c r="F11" s="58"/>
      <c r="G11" s="26" t="s">
        <v>74</v>
      </c>
      <c r="H11" s="34">
        <v>0.40189999999999998</v>
      </c>
      <c r="I11" s="26">
        <v>0</v>
      </c>
      <c r="J11" s="26">
        <v>1</v>
      </c>
      <c r="K11" s="26">
        <v>1</v>
      </c>
      <c r="L11" s="68"/>
      <c r="M11" s="63"/>
      <c r="N11" s="70"/>
      <c r="O11" s="63"/>
      <c r="P11" s="63"/>
      <c r="Q11" s="63"/>
      <c r="R11" s="63"/>
      <c r="S11" s="63"/>
    </row>
    <row r="12" spans="1:19">
      <c r="A12" s="71"/>
      <c r="B12" s="62"/>
      <c r="C12" s="67"/>
      <c r="D12" s="59"/>
      <c r="E12" s="59"/>
      <c r="F12" s="59"/>
      <c r="G12" s="26" t="s">
        <v>226</v>
      </c>
      <c r="H12" s="34">
        <v>0.4178</v>
      </c>
      <c r="I12" s="26">
        <v>0</v>
      </c>
      <c r="J12" s="26">
        <v>0</v>
      </c>
      <c r="K12" s="26">
        <v>1</v>
      </c>
      <c r="L12" s="68"/>
      <c r="M12" s="63"/>
      <c r="N12" s="71"/>
      <c r="O12" s="63"/>
      <c r="P12" s="63"/>
      <c r="Q12" s="63"/>
      <c r="R12" s="63"/>
      <c r="S12" s="63"/>
    </row>
    <row r="13" spans="1:19">
      <c r="A13" s="72">
        <v>3</v>
      </c>
      <c r="B13" s="60" t="s">
        <v>379</v>
      </c>
      <c r="C13" s="75" t="s">
        <v>10</v>
      </c>
      <c r="D13" s="60" t="s">
        <v>37</v>
      </c>
      <c r="E13" s="51"/>
      <c r="F13" s="60" t="s">
        <v>382</v>
      </c>
      <c r="G13" s="25" t="s">
        <v>79</v>
      </c>
      <c r="H13" s="33">
        <v>0.38100000000000001</v>
      </c>
      <c r="I13" s="25">
        <v>0</v>
      </c>
      <c r="J13" s="25">
        <v>1</v>
      </c>
      <c r="K13" s="25">
        <v>1</v>
      </c>
      <c r="L13" s="78">
        <v>0.4</v>
      </c>
      <c r="M13" s="64">
        <v>3</v>
      </c>
      <c r="N13" s="72">
        <v>3</v>
      </c>
      <c r="O13" s="64">
        <v>3</v>
      </c>
      <c r="P13" s="64">
        <v>2</v>
      </c>
      <c r="Q13" s="64">
        <v>10.702999999999999</v>
      </c>
      <c r="R13" s="64">
        <v>1.6040000000000001</v>
      </c>
      <c r="S13" s="64">
        <v>0</v>
      </c>
    </row>
    <row r="14" spans="1:19">
      <c r="A14" s="73"/>
      <c r="B14" s="61"/>
      <c r="C14" s="76"/>
      <c r="D14" s="61"/>
      <c r="E14" s="52"/>
      <c r="F14" s="61"/>
      <c r="G14" s="25" t="s">
        <v>81</v>
      </c>
      <c r="H14" s="33">
        <v>0.39660000000000001</v>
      </c>
      <c r="I14" s="25">
        <v>0</v>
      </c>
      <c r="J14" s="25">
        <v>1</v>
      </c>
      <c r="K14" s="25">
        <v>1</v>
      </c>
      <c r="L14" s="78"/>
      <c r="M14" s="64"/>
      <c r="N14" s="73"/>
      <c r="O14" s="64"/>
      <c r="P14" s="64"/>
      <c r="Q14" s="64"/>
      <c r="R14" s="64"/>
      <c r="S14" s="64"/>
    </row>
    <row r="15" spans="1:19">
      <c r="A15" s="73"/>
      <c r="B15" s="61"/>
      <c r="C15" s="76"/>
      <c r="D15" s="61"/>
      <c r="E15" s="52"/>
      <c r="F15" s="61"/>
      <c r="G15" s="25" t="s">
        <v>80</v>
      </c>
      <c r="H15" s="33">
        <v>0.42830000000000001</v>
      </c>
      <c r="I15" s="25">
        <v>0</v>
      </c>
      <c r="J15" s="25">
        <v>0</v>
      </c>
      <c r="K15" s="25">
        <v>1</v>
      </c>
      <c r="L15" s="78"/>
      <c r="M15" s="64"/>
      <c r="N15" s="73"/>
      <c r="O15" s="64"/>
      <c r="P15" s="64"/>
      <c r="Q15" s="64"/>
      <c r="R15" s="64"/>
      <c r="S15" s="64"/>
    </row>
    <row r="16" spans="1:19">
      <c r="A16" s="73"/>
      <c r="B16" s="61"/>
      <c r="C16" s="76"/>
      <c r="D16" s="61"/>
      <c r="E16" s="52"/>
      <c r="F16" s="61"/>
      <c r="G16" s="25" t="s">
        <v>383</v>
      </c>
      <c r="H16" s="33">
        <v>0.43890000000000001</v>
      </c>
      <c r="I16" s="25">
        <v>0</v>
      </c>
      <c r="J16" s="25">
        <v>0</v>
      </c>
      <c r="K16" s="25">
        <v>1</v>
      </c>
      <c r="L16" s="78"/>
      <c r="M16" s="64"/>
      <c r="N16" s="73"/>
      <c r="O16" s="64"/>
      <c r="P16" s="64"/>
      <c r="Q16" s="64"/>
      <c r="R16" s="64"/>
      <c r="S16" s="64"/>
    </row>
    <row r="17" spans="1:19">
      <c r="A17" s="74"/>
      <c r="B17" s="62"/>
      <c r="C17" s="77"/>
      <c r="D17" s="62"/>
      <c r="E17" s="53"/>
      <c r="F17" s="62"/>
      <c r="G17" s="25" t="s">
        <v>384</v>
      </c>
      <c r="H17" s="33">
        <v>0.44579999999999997</v>
      </c>
      <c r="I17" s="25">
        <v>0</v>
      </c>
      <c r="J17" s="25">
        <v>0</v>
      </c>
      <c r="K17" s="25">
        <v>1</v>
      </c>
      <c r="L17" s="78"/>
      <c r="M17" s="64"/>
      <c r="N17" s="74"/>
      <c r="O17" s="64"/>
      <c r="P17" s="64"/>
      <c r="Q17" s="64"/>
      <c r="R17" s="64"/>
      <c r="S17" s="64"/>
    </row>
    <row r="18" spans="1:19">
      <c r="A18" s="69">
        <v>4</v>
      </c>
      <c r="B18" s="60" t="s">
        <v>379</v>
      </c>
      <c r="C18" s="65" t="s">
        <v>10</v>
      </c>
      <c r="D18" s="57" t="s">
        <v>386</v>
      </c>
      <c r="E18" s="48"/>
      <c r="F18" s="57" t="s">
        <v>385</v>
      </c>
      <c r="G18" s="26" t="s">
        <v>387</v>
      </c>
      <c r="H18" s="34">
        <v>0.56859999999999999</v>
      </c>
      <c r="I18" s="26">
        <v>0</v>
      </c>
      <c r="J18" s="26">
        <v>0</v>
      </c>
      <c r="K18" s="26">
        <v>0</v>
      </c>
      <c r="L18" s="68">
        <v>0</v>
      </c>
      <c r="M18" s="63">
        <v>3</v>
      </c>
      <c r="N18" s="69">
        <v>3</v>
      </c>
      <c r="O18" s="63">
        <v>3</v>
      </c>
      <c r="P18" s="63">
        <v>2</v>
      </c>
      <c r="Q18" s="63">
        <v>10.403</v>
      </c>
      <c r="R18" s="63">
        <v>1.244</v>
      </c>
      <c r="S18" s="63">
        <v>1.61</v>
      </c>
    </row>
    <row r="19" spans="1:19">
      <c r="A19" s="70"/>
      <c r="B19" s="61"/>
      <c r="C19" s="66"/>
      <c r="D19" s="58"/>
      <c r="E19" s="49"/>
      <c r="F19" s="58"/>
      <c r="G19" s="26" t="s">
        <v>388</v>
      </c>
      <c r="H19" s="34">
        <v>0.57340000000000002</v>
      </c>
      <c r="I19" s="26">
        <v>0</v>
      </c>
      <c r="J19" s="26">
        <v>0</v>
      </c>
      <c r="K19" s="26">
        <v>0</v>
      </c>
      <c r="L19" s="68"/>
      <c r="M19" s="63"/>
      <c r="N19" s="70"/>
      <c r="O19" s="63"/>
      <c r="P19" s="63"/>
      <c r="Q19" s="63"/>
      <c r="R19" s="63"/>
      <c r="S19" s="63"/>
    </row>
    <row r="20" spans="1:19">
      <c r="A20" s="70"/>
      <c r="B20" s="61"/>
      <c r="C20" s="66"/>
      <c r="D20" s="58"/>
      <c r="E20" s="49"/>
      <c r="F20" s="58"/>
      <c r="G20" s="26" t="s">
        <v>389</v>
      </c>
      <c r="H20" s="34">
        <v>0.57809999999999995</v>
      </c>
      <c r="I20" s="26">
        <v>0</v>
      </c>
      <c r="J20" s="26">
        <v>0</v>
      </c>
      <c r="K20" s="26">
        <v>0</v>
      </c>
      <c r="L20" s="68"/>
      <c r="M20" s="63"/>
      <c r="N20" s="70"/>
      <c r="O20" s="63"/>
      <c r="P20" s="63"/>
      <c r="Q20" s="63"/>
      <c r="R20" s="63"/>
      <c r="S20" s="63"/>
    </row>
    <row r="21" spans="1:19">
      <c r="A21" s="70"/>
      <c r="B21" s="61"/>
      <c r="C21" s="66"/>
      <c r="D21" s="58"/>
      <c r="E21" s="49"/>
      <c r="F21" s="58"/>
      <c r="G21" s="26" t="s">
        <v>390</v>
      </c>
      <c r="H21" s="34">
        <v>0.57830000000000004</v>
      </c>
      <c r="I21" s="26">
        <v>0</v>
      </c>
      <c r="J21" s="26">
        <v>0</v>
      </c>
      <c r="K21" s="26">
        <v>0</v>
      </c>
      <c r="L21" s="68"/>
      <c r="M21" s="63"/>
      <c r="N21" s="70"/>
      <c r="O21" s="63"/>
      <c r="P21" s="63"/>
      <c r="Q21" s="63"/>
      <c r="R21" s="63"/>
      <c r="S21" s="63"/>
    </row>
    <row r="22" spans="1:19">
      <c r="A22" s="71"/>
      <c r="B22" s="62"/>
      <c r="C22" s="67"/>
      <c r="D22" s="59"/>
      <c r="E22" s="50"/>
      <c r="F22" s="59"/>
      <c r="G22" s="26" t="s">
        <v>391</v>
      </c>
      <c r="H22" s="34">
        <v>0.58240000000000003</v>
      </c>
      <c r="I22" s="26">
        <v>0</v>
      </c>
      <c r="J22" s="26">
        <v>0</v>
      </c>
      <c r="K22" s="26">
        <v>0</v>
      </c>
      <c r="L22" s="68"/>
      <c r="M22" s="63"/>
      <c r="N22" s="71"/>
      <c r="O22" s="63"/>
      <c r="P22" s="63"/>
      <c r="Q22" s="63"/>
      <c r="R22" s="63"/>
      <c r="S22" s="63"/>
    </row>
    <row r="23" spans="1:19">
      <c r="A23" s="72">
        <v>5</v>
      </c>
      <c r="B23" s="60" t="s">
        <v>379</v>
      </c>
      <c r="C23" s="75" t="s">
        <v>10</v>
      </c>
      <c r="D23" s="60" t="s">
        <v>41</v>
      </c>
      <c r="E23" s="51"/>
      <c r="F23" s="60" t="s">
        <v>392</v>
      </c>
      <c r="G23" s="25" t="s">
        <v>97</v>
      </c>
      <c r="H23" s="33">
        <v>0.36220000000000002</v>
      </c>
      <c r="I23" s="25">
        <v>0</v>
      </c>
      <c r="J23" s="25">
        <v>1</v>
      </c>
      <c r="K23" s="25">
        <v>1</v>
      </c>
      <c r="L23" s="78">
        <v>0.4</v>
      </c>
      <c r="M23" s="64">
        <v>3</v>
      </c>
      <c r="N23" s="72">
        <v>2</v>
      </c>
      <c r="O23" s="64">
        <v>3</v>
      </c>
      <c r="P23" s="64">
        <v>2</v>
      </c>
      <c r="Q23" s="64">
        <v>6.548</v>
      </c>
      <c r="R23" s="64">
        <v>1.052</v>
      </c>
      <c r="S23" s="64">
        <v>0</v>
      </c>
    </row>
    <row r="24" spans="1:19">
      <c r="A24" s="73"/>
      <c r="B24" s="61"/>
      <c r="C24" s="76"/>
      <c r="D24" s="61"/>
      <c r="E24" s="52"/>
      <c r="F24" s="61"/>
      <c r="G24" s="25" t="s">
        <v>96</v>
      </c>
      <c r="H24" s="33">
        <v>0.36270000000000002</v>
      </c>
      <c r="I24" s="25">
        <v>0</v>
      </c>
      <c r="J24" s="25">
        <v>1</v>
      </c>
      <c r="K24" s="25">
        <v>1</v>
      </c>
      <c r="L24" s="78"/>
      <c r="M24" s="64"/>
      <c r="N24" s="73"/>
      <c r="O24" s="64"/>
      <c r="P24" s="64"/>
      <c r="Q24" s="64"/>
      <c r="R24" s="64"/>
      <c r="S24" s="64"/>
    </row>
    <row r="25" spans="1:19">
      <c r="A25" s="73"/>
      <c r="B25" s="61"/>
      <c r="C25" s="76"/>
      <c r="D25" s="61"/>
      <c r="E25" s="52"/>
      <c r="F25" s="61"/>
      <c r="G25" s="25" t="s">
        <v>98</v>
      </c>
      <c r="H25" s="33">
        <v>0.44890000000000002</v>
      </c>
      <c r="I25" s="25">
        <v>0</v>
      </c>
      <c r="J25" s="25">
        <v>0</v>
      </c>
      <c r="K25" s="25">
        <v>1</v>
      </c>
      <c r="L25" s="78"/>
      <c r="M25" s="64"/>
      <c r="N25" s="73"/>
      <c r="O25" s="64"/>
      <c r="P25" s="64"/>
      <c r="Q25" s="64"/>
      <c r="R25" s="64"/>
      <c r="S25" s="64"/>
    </row>
    <row r="26" spans="1:19">
      <c r="A26" s="73"/>
      <c r="B26" s="61"/>
      <c r="C26" s="76"/>
      <c r="D26" s="61"/>
      <c r="E26" s="52"/>
      <c r="F26" s="61"/>
      <c r="G26" s="25" t="s">
        <v>99</v>
      </c>
      <c r="H26" s="33">
        <v>0.4511</v>
      </c>
      <c r="I26" s="25">
        <v>0</v>
      </c>
      <c r="J26" s="25">
        <v>0</v>
      </c>
      <c r="K26" s="25">
        <v>1</v>
      </c>
      <c r="L26" s="78"/>
      <c r="M26" s="64"/>
      <c r="N26" s="73"/>
      <c r="O26" s="64"/>
      <c r="P26" s="64"/>
      <c r="Q26" s="64"/>
      <c r="R26" s="64"/>
      <c r="S26" s="64"/>
    </row>
    <row r="27" spans="1:19">
      <c r="A27" s="74"/>
      <c r="B27" s="62"/>
      <c r="C27" s="77"/>
      <c r="D27" s="62"/>
      <c r="E27" s="53"/>
      <c r="F27" s="62"/>
      <c r="G27" s="25" t="s">
        <v>393</v>
      </c>
      <c r="H27" s="33">
        <v>0.45669999999999999</v>
      </c>
      <c r="I27" s="25">
        <v>0</v>
      </c>
      <c r="J27" s="25">
        <v>0</v>
      </c>
      <c r="K27" s="25">
        <v>1</v>
      </c>
      <c r="L27" s="78"/>
      <c r="M27" s="64"/>
      <c r="N27" s="74"/>
      <c r="O27" s="64"/>
      <c r="P27" s="64"/>
      <c r="Q27" s="64"/>
      <c r="R27" s="64"/>
      <c r="S27" s="64"/>
    </row>
    <row r="28" spans="1:19">
      <c r="A28" s="69">
        <v>6</v>
      </c>
      <c r="B28" s="60" t="s">
        <v>379</v>
      </c>
      <c r="C28" s="65" t="s">
        <v>10</v>
      </c>
      <c r="D28" s="57" t="s">
        <v>40</v>
      </c>
      <c r="E28" s="48"/>
      <c r="F28" s="57" t="s">
        <v>394</v>
      </c>
      <c r="G28" s="26" t="s">
        <v>395</v>
      </c>
      <c r="H28" s="34">
        <v>0.43840000000000001</v>
      </c>
      <c r="I28" s="26">
        <v>0</v>
      </c>
      <c r="J28" s="26">
        <v>0</v>
      </c>
      <c r="K28" s="26">
        <v>1</v>
      </c>
      <c r="L28" s="68">
        <v>0</v>
      </c>
      <c r="M28" s="63">
        <v>3</v>
      </c>
      <c r="N28" s="69">
        <v>2</v>
      </c>
      <c r="O28" s="63">
        <v>3</v>
      </c>
      <c r="P28" s="63">
        <v>2</v>
      </c>
      <c r="Q28" s="63">
        <v>24.26</v>
      </c>
      <c r="R28" s="63">
        <v>0.74</v>
      </c>
      <c r="S28" s="63">
        <v>0</v>
      </c>
    </row>
    <row r="29" spans="1:19">
      <c r="A29" s="70"/>
      <c r="B29" s="61"/>
      <c r="C29" s="66"/>
      <c r="D29" s="58"/>
      <c r="E29" s="49"/>
      <c r="F29" s="58"/>
      <c r="G29" s="26" t="s">
        <v>116</v>
      </c>
      <c r="H29" s="34">
        <v>0.44059999999999999</v>
      </c>
      <c r="I29" s="26">
        <v>0</v>
      </c>
      <c r="J29" s="26">
        <v>0</v>
      </c>
      <c r="K29" s="26">
        <v>1</v>
      </c>
      <c r="L29" s="68"/>
      <c r="M29" s="63"/>
      <c r="N29" s="70"/>
      <c r="O29" s="63"/>
      <c r="P29" s="63"/>
      <c r="Q29" s="63"/>
      <c r="R29" s="63"/>
      <c r="S29" s="63"/>
    </row>
    <row r="30" spans="1:19">
      <c r="A30" s="70"/>
      <c r="B30" s="61"/>
      <c r="C30" s="66"/>
      <c r="D30" s="58"/>
      <c r="E30" s="49"/>
      <c r="F30" s="58"/>
      <c r="G30" t="s">
        <v>396</v>
      </c>
      <c r="H30" s="34">
        <v>0.46889999999999998</v>
      </c>
      <c r="I30" s="26">
        <v>0</v>
      </c>
      <c r="J30" s="26">
        <v>0</v>
      </c>
      <c r="K30" s="26">
        <v>1</v>
      </c>
      <c r="L30" s="68"/>
      <c r="M30" s="63"/>
      <c r="N30" s="70"/>
      <c r="O30" s="63"/>
      <c r="P30" s="63"/>
      <c r="Q30" s="63"/>
      <c r="R30" s="63"/>
      <c r="S30" s="63"/>
    </row>
    <row r="31" spans="1:19">
      <c r="A31" s="70"/>
      <c r="B31" s="61"/>
      <c r="C31" s="66"/>
      <c r="D31" s="58"/>
      <c r="E31" s="49"/>
      <c r="F31" s="58"/>
      <c r="G31" s="26" t="s">
        <v>397</v>
      </c>
      <c r="H31" s="34">
        <v>0.47810000000000002</v>
      </c>
      <c r="I31" s="26">
        <v>0</v>
      </c>
      <c r="J31" s="26">
        <v>0</v>
      </c>
      <c r="K31" s="26">
        <v>1</v>
      </c>
      <c r="L31" s="68"/>
      <c r="M31" s="63"/>
      <c r="N31" s="70"/>
      <c r="O31" s="63"/>
      <c r="P31" s="63"/>
      <c r="Q31" s="63"/>
      <c r="R31" s="63"/>
      <c r="S31" s="63"/>
    </row>
    <row r="32" spans="1:19">
      <c r="A32" s="71"/>
      <c r="B32" s="62"/>
      <c r="C32" s="67"/>
      <c r="D32" s="59"/>
      <c r="E32" s="50"/>
      <c r="F32" s="59"/>
      <c r="G32" s="26" t="s">
        <v>398</v>
      </c>
      <c r="H32" s="34">
        <v>0.48599999999999999</v>
      </c>
      <c r="I32" s="26">
        <v>0</v>
      </c>
      <c r="J32" s="26">
        <v>0</v>
      </c>
      <c r="K32" s="26">
        <v>1</v>
      </c>
      <c r="L32" s="68"/>
      <c r="M32" s="63"/>
      <c r="N32" s="71"/>
      <c r="O32" s="63"/>
      <c r="P32" s="63"/>
      <c r="Q32" s="63"/>
      <c r="R32" s="63"/>
      <c r="S32" s="63"/>
    </row>
    <row r="33" spans="1:19">
      <c r="A33" s="72">
        <v>7</v>
      </c>
      <c r="B33" s="60" t="s">
        <v>379</v>
      </c>
      <c r="C33" s="75" t="s">
        <v>10</v>
      </c>
      <c r="D33" s="60" t="s">
        <v>38</v>
      </c>
      <c r="E33" s="51"/>
      <c r="F33" s="60" t="s">
        <v>399</v>
      </c>
      <c r="G33" s="25" t="s">
        <v>125</v>
      </c>
      <c r="H33" s="33">
        <v>0.46089999999999998</v>
      </c>
      <c r="I33" s="25">
        <v>0</v>
      </c>
      <c r="J33" s="25">
        <v>0</v>
      </c>
      <c r="K33" s="25">
        <v>1</v>
      </c>
      <c r="L33" s="78">
        <v>0</v>
      </c>
      <c r="M33" s="64">
        <v>3</v>
      </c>
      <c r="N33" s="72">
        <v>2</v>
      </c>
      <c r="O33" s="64">
        <v>3</v>
      </c>
      <c r="P33" s="64">
        <v>2</v>
      </c>
      <c r="Q33" s="64">
        <v>9.6029999999999998</v>
      </c>
      <c r="R33" s="64">
        <v>0.76800000000000002</v>
      </c>
      <c r="S33" s="64">
        <v>0</v>
      </c>
    </row>
    <row r="34" spans="1:19">
      <c r="A34" s="73"/>
      <c r="B34" s="61"/>
      <c r="C34" s="76"/>
      <c r="D34" s="61"/>
      <c r="E34" s="52"/>
      <c r="F34" s="61"/>
      <c r="G34" s="25" t="s">
        <v>122</v>
      </c>
      <c r="H34" s="33">
        <v>0.46279999999999999</v>
      </c>
      <c r="I34" s="25">
        <v>0</v>
      </c>
      <c r="J34" s="25">
        <v>0</v>
      </c>
      <c r="K34" s="25">
        <v>1</v>
      </c>
      <c r="L34" s="78"/>
      <c r="M34" s="64"/>
      <c r="N34" s="73"/>
      <c r="O34" s="64"/>
      <c r="P34" s="64"/>
      <c r="Q34" s="64"/>
      <c r="R34" s="64"/>
      <c r="S34" s="64"/>
    </row>
    <row r="35" spans="1:19">
      <c r="A35" s="73"/>
      <c r="B35" s="61"/>
      <c r="C35" s="76"/>
      <c r="D35" s="61"/>
      <c r="E35" s="52"/>
      <c r="F35" s="61"/>
      <c r="G35" s="30" t="s">
        <v>400</v>
      </c>
      <c r="H35" s="33">
        <v>0.46550000000000002</v>
      </c>
      <c r="I35" s="25">
        <v>0</v>
      </c>
      <c r="J35" s="25">
        <v>0</v>
      </c>
      <c r="K35" s="25">
        <v>1</v>
      </c>
      <c r="L35" s="78"/>
      <c r="M35" s="64"/>
      <c r="N35" s="73"/>
      <c r="O35" s="64"/>
      <c r="P35" s="64"/>
      <c r="Q35" s="64"/>
      <c r="R35" s="64"/>
      <c r="S35" s="64"/>
    </row>
    <row r="36" spans="1:19">
      <c r="A36" s="73"/>
      <c r="B36" s="61"/>
      <c r="C36" s="76"/>
      <c r="D36" s="61"/>
      <c r="E36" s="52"/>
      <c r="F36" s="61"/>
      <c r="G36" s="25" t="s">
        <v>126</v>
      </c>
      <c r="H36" s="33">
        <v>0.46800000000000003</v>
      </c>
      <c r="I36" s="25">
        <v>0</v>
      </c>
      <c r="J36" s="25">
        <v>0</v>
      </c>
      <c r="K36" s="25">
        <v>1</v>
      </c>
      <c r="L36" s="78"/>
      <c r="M36" s="64"/>
      <c r="N36" s="73"/>
      <c r="O36" s="64"/>
      <c r="P36" s="64"/>
      <c r="Q36" s="64"/>
      <c r="R36" s="64"/>
      <c r="S36" s="64"/>
    </row>
    <row r="37" spans="1:19">
      <c r="A37" s="74"/>
      <c r="B37" s="62"/>
      <c r="C37" s="77"/>
      <c r="D37" s="62"/>
      <c r="E37" s="53"/>
      <c r="F37" s="62"/>
      <c r="G37" s="25" t="s">
        <v>401</v>
      </c>
      <c r="H37" s="33">
        <v>0.4723</v>
      </c>
      <c r="I37" s="25">
        <v>0</v>
      </c>
      <c r="J37" s="25">
        <v>0</v>
      </c>
      <c r="K37" s="25">
        <v>1</v>
      </c>
      <c r="L37" s="78"/>
      <c r="M37" s="64"/>
      <c r="N37" s="74"/>
      <c r="O37" s="64"/>
      <c r="P37" s="64"/>
      <c r="Q37" s="64"/>
      <c r="R37" s="64"/>
      <c r="S37" s="64"/>
    </row>
    <row r="38" spans="1:19">
      <c r="A38" s="69">
        <v>8</v>
      </c>
      <c r="B38" s="60" t="s">
        <v>379</v>
      </c>
      <c r="C38" s="65" t="s">
        <v>10</v>
      </c>
      <c r="D38" s="57" t="s">
        <v>39</v>
      </c>
      <c r="E38" s="48"/>
      <c r="F38" s="57" t="s">
        <v>402</v>
      </c>
      <c r="G38" s="26" t="s">
        <v>130</v>
      </c>
      <c r="H38" s="34">
        <v>0.55120000000000002</v>
      </c>
      <c r="I38" s="26">
        <v>0</v>
      </c>
      <c r="J38" s="26">
        <v>0</v>
      </c>
      <c r="K38" s="26">
        <v>0</v>
      </c>
      <c r="L38" s="68">
        <v>0</v>
      </c>
      <c r="M38" s="63">
        <v>3</v>
      </c>
      <c r="N38" s="69">
        <v>1</v>
      </c>
      <c r="O38" s="63">
        <v>3</v>
      </c>
      <c r="P38" s="63">
        <v>2</v>
      </c>
      <c r="Q38" s="63">
        <v>26.04</v>
      </c>
      <c r="R38" s="63">
        <v>0.40899999999999997</v>
      </c>
      <c r="S38" s="63">
        <v>0</v>
      </c>
    </row>
    <row r="39" spans="1:19">
      <c r="A39" s="70"/>
      <c r="B39" s="61"/>
      <c r="C39" s="66"/>
      <c r="D39" s="58"/>
      <c r="E39" s="49"/>
      <c r="F39" s="58"/>
      <c r="G39" t="s">
        <v>131</v>
      </c>
      <c r="H39" s="34">
        <v>0.5575</v>
      </c>
      <c r="I39" s="26">
        <v>0</v>
      </c>
      <c r="J39" s="26">
        <v>0</v>
      </c>
      <c r="K39" s="26">
        <v>0</v>
      </c>
      <c r="L39" s="68"/>
      <c r="M39" s="63"/>
      <c r="N39" s="70"/>
      <c r="O39" s="63"/>
      <c r="P39" s="63"/>
      <c r="Q39" s="63"/>
      <c r="R39" s="63"/>
      <c r="S39" s="63"/>
    </row>
    <row r="40" spans="1:19">
      <c r="A40" s="70"/>
      <c r="B40" s="61"/>
      <c r="C40" s="66"/>
      <c r="D40" s="58"/>
      <c r="E40" s="49"/>
      <c r="F40" s="58"/>
      <c r="G40" s="26" t="s">
        <v>403</v>
      </c>
      <c r="H40" s="34">
        <v>0.56569999999999998</v>
      </c>
      <c r="I40" s="26">
        <v>0</v>
      </c>
      <c r="J40" s="26">
        <v>0</v>
      </c>
      <c r="K40" s="26">
        <v>0</v>
      </c>
      <c r="L40" s="68"/>
      <c r="M40" s="63"/>
      <c r="N40" s="70"/>
      <c r="O40" s="63"/>
      <c r="P40" s="63"/>
      <c r="Q40" s="63"/>
      <c r="R40" s="63"/>
      <c r="S40" s="63"/>
    </row>
    <row r="41" spans="1:19">
      <c r="A41" s="70"/>
      <c r="B41" s="61"/>
      <c r="C41" s="66"/>
      <c r="D41" s="58"/>
      <c r="E41" s="49"/>
      <c r="F41" s="58"/>
      <c r="G41" s="26" t="s">
        <v>404</v>
      </c>
      <c r="H41" s="41">
        <v>0.57010000000000005</v>
      </c>
      <c r="I41" s="26">
        <v>0</v>
      </c>
      <c r="J41" s="26">
        <v>0</v>
      </c>
      <c r="K41" s="26">
        <v>0</v>
      </c>
      <c r="L41" s="68"/>
      <c r="M41" s="63"/>
      <c r="N41" s="70"/>
      <c r="O41" s="63"/>
      <c r="P41" s="63"/>
      <c r="Q41" s="63"/>
      <c r="R41" s="63"/>
      <c r="S41" s="63"/>
    </row>
    <row r="42" spans="1:19">
      <c r="A42" s="71"/>
      <c r="B42" s="62"/>
      <c r="C42" s="67"/>
      <c r="D42" s="59"/>
      <c r="E42" s="50"/>
      <c r="F42" s="59"/>
      <c r="G42" s="26" t="s">
        <v>129</v>
      </c>
      <c r="H42" s="34">
        <v>0.57499999999999996</v>
      </c>
      <c r="I42" s="26">
        <v>0</v>
      </c>
      <c r="J42" s="26">
        <v>0</v>
      </c>
      <c r="K42" s="26">
        <v>0</v>
      </c>
      <c r="L42" s="68"/>
      <c r="M42" s="63"/>
      <c r="N42" s="71"/>
      <c r="O42" s="63"/>
      <c r="P42" s="63"/>
      <c r="Q42" s="63"/>
      <c r="R42" s="63"/>
      <c r="S42" s="63"/>
    </row>
    <row r="43" spans="1:19">
      <c r="A43" s="72">
        <v>9</v>
      </c>
      <c r="B43" s="60" t="s">
        <v>379</v>
      </c>
      <c r="C43" s="75" t="s">
        <v>10</v>
      </c>
      <c r="D43" s="60" t="s">
        <v>42</v>
      </c>
      <c r="E43" s="51"/>
      <c r="F43" s="60" t="s">
        <v>405</v>
      </c>
      <c r="G43" s="25" t="s">
        <v>136</v>
      </c>
      <c r="H43" s="33">
        <v>0.59419999999999995</v>
      </c>
      <c r="I43" s="25">
        <v>0</v>
      </c>
      <c r="J43" s="25">
        <v>0</v>
      </c>
      <c r="K43" s="25">
        <v>0</v>
      </c>
      <c r="L43" s="78">
        <v>0</v>
      </c>
      <c r="M43" s="64">
        <v>3</v>
      </c>
      <c r="N43" s="72">
        <v>3</v>
      </c>
      <c r="O43" s="64">
        <v>3</v>
      </c>
      <c r="P43" s="64">
        <v>2</v>
      </c>
      <c r="Q43" s="64">
        <v>13.972</v>
      </c>
      <c r="R43" s="64">
        <v>1.7010000000000001</v>
      </c>
      <c r="S43" s="64">
        <v>1.86</v>
      </c>
    </row>
    <row r="44" spans="1:19">
      <c r="A44" s="73"/>
      <c r="B44" s="61"/>
      <c r="C44" s="76"/>
      <c r="D44" s="61"/>
      <c r="E44" s="52"/>
      <c r="F44" s="61"/>
      <c r="G44" s="25" t="s">
        <v>134</v>
      </c>
      <c r="H44" s="33">
        <v>0.59450000000000003</v>
      </c>
      <c r="I44" s="25">
        <v>0</v>
      </c>
      <c r="J44" s="25">
        <v>0</v>
      </c>
      <c r="K44" s="25">
        <v>0</v>
      </c>
      <c r="L44" s="78"/>
      <c r="M44" s="64"/>
      <c r="N44" s="73"/>
      <c r="O44" s="64"/>
      <c r="P44" s="64"/>
      <c r="Q44" s="64"/>
      <c r="R44" s="64"/>
      <c r="S44" s="64"/>
    </row>
    <row r="45" spans="1:19">
      <c r="A45" s="73"/>
      <c r="B45" s="61"/>
      <c r="C45" s="76"/>
      <c r="D45" s="61"/>
      <c r="E45" s="52"/>
      <c r="F45" s="61"/>
      <c r="G45" s="25" t="s">
        <v>137</v>
      </c>
      <c r="H45" s="33">
        <v>0.63349999999999995</v>
      </c>
      <c r="I45" s="25">
        <v>0</v>
      </c>
      <c r="J45" s="25">
        <v>0</v>
      </c>
      <c r="K45" s="25">
        <v>0</v>
      </c>
      <c r="L45" s="78"/>
      <c r="M45" s="64"/>
      <c r="N45" s="73"/>
      <c r="O45" s="64"/>
      <c r="P45" s="64"/>
      <c r="Q45" s="64"/>
      <c r="R45" s="64"/>
      <c r="S45" s="64"/>
    </row>
    <row r="46" spans="1:19">
      <c r="A46" s="73"/>
      <c r="B46" s="61"/>
      <c r="C46" s="76"/>
      <c r="D46" s="61"/>
      <c r="E46" s="52"/>
      <c r="F46" s="61"/>
      <c r="G46" s="25" t="s">
        <v>406</v>
      </c>
      <c r="H46" s="33">
        <v>0.64349999999999996</v>
      </c>
      <c r="I46" s="25">
        <v>0</v>
      </c>
      <c r="J46" s="25">
        <v>0</v>
      </c>
      <c r="K46" s="25">
        <v>0</v>
      </c>
      <c r="L46" s="78"/>
      <c r="M46" s="64"/>
      <c r="N46" s="73"/>
      <c r="O46" s="64"/>
      <c r="P46" s="64"/>
      <c r="Q46" s="64"/>
      <c r="R46" s="64"/>
      <c r="S46" s="64"/>
    </row>
    <row r="47" spans="1:19">
      <c r="A47" s="74"/>
      <c r="B47" s="62"/>
      <c r="C47" s="77"/>
      <c r="D47" s="62"/>
      <c r="E47" s="53"/>
      <c r="F47" s="62"/>
      <c r="G47" s="25" t="s">
        <v>135</v>
      </c>
      <c r="H47" s="33">
        <v>0.64400000000000002</v>
      </c>
      <c r="I47" s="25">
        <v>0</v>
      </c>
      <c r="J47" s="25">
        <v>0</v>
      </c>
      <c r="K47" s="25">
        <v>0</v>
      </c>
      <c r="L47" s="78"/>
      <c r="M47" s="64"/>
      <c r="N47" s="74"/>
      <c r="O47" s="64"/>
      <c r="P47" s="64"/>
      <c r="Q47" s="64"/>
      <c r="R47" s="64"/>
      <c r="S47" s="64"/>
    </row>
    <row r="48" spans="1:19">
      <c r="A48" s="69">
        <v>10</v>
      </c>
      <c r="B48" s="60" t="s">
        <v>379</v>
      </c>
      <c r="C48" s="65" t="s">
        <v>10</v>
      </c>
      <c r="D48" s="57" t="s">
        <v>43</v>
      </c>
      <c r="E48" s="48"/>
      <c r="F48" s="57" t="s">
        <v>407</v>
      </c>
      <c r="G48" s="26" t="s">
        <v>141</v>
      </c>
      <c r="H48" s="34">
        <v>0.59560000000000002</v>
      </c>
      <c r="I48" s="26">
        <v>0</v>
      </c>
      <c r="J48" s="26">
        <v>0</v>
      </c>
      <c r="K48" s="26">
        <v>0</v>
      </c>
      <c r="L48" s="68">
        <v>0</v>
      </c>
      <c r="M48" s="63">
        <v>3</v>
      </c>
      <c r="N48" s="69">
        <v>1</v>
      </c>
      <c r="O48" s="63">
        <v>2</v>
      </c>
      <c r="P48" s="63">
        <v>2</v>
      </c>
      <c r="Q48" s="63">
        <v>8.8420000000000005</v>
      </c>
      <c r="R48" s="63">
        <v>0.95199999999999996</v>
      </c>
      <c r="S48" s="63">
        <v>1.3340000000000001</v>
      </c>
    </row>
    <row r="49" spans="1:19">
      <c r="A49" s="70"/>
      <c r="B49" s="61"/>
      <c r="C49" s="66"/>
      <c r="D49" s="58"/>
      <c r="E49" s="49"/>
      <c r="F49" s="58"/>
      <c r="G49" s="26" t="s">
        <v>142</v>
      </c>
      <c r="H49" s="34">
        <v>0.60829999999999995</v>
      </c>
      <c r="I49" s="26">
        <v>0</v>
      </c>
      <c r="J49" s="26">
        <v>0</v>
      </c>
      <c r="K49" s="26">
        <v>0</v>
      </c>
      <c r="L49" s="68"/>
      <c r="M49" s="63"/>
      <c r="N49" s="70"/>
      <c r="O49" s="63"/>
      <c r="P49" s="63"/>
      <c r="Q49" s="63"/>
      <c r="R49" s="63"/>
      <c r="S49" s="63"/>
    </row>
    <row r="50" spans="1:19">
      <c r="A50" s="70"/>
      <c r="B50" s="61"/>
      <c r="C50" s="66"/>
      <c r="D50" s="58"/>
      <c r="E50" s="49"/>
      <c r="F50" s="58"/>
      <c r="G50" t="s">
        <v>143</v>
      </c>
      <c r="H50" s="34">
        <v>0.61</v>
      </c>
      <c r="I50" s="26">
        <v>0</v>
      </c>
      <c r="J50" s="26">
        <v>0</v>
      </c>
      <c r="K50" s="26">
        <v>0</v>
      </c>
      <c r="L50" s="68"/>
      <c r="M50" s="63"/>
      <c r="N50" s="70"/>
      <c r="O50" s="63"/>
      <c r="P50" s="63"/>
      <c r="Q50" s="63"/>
      <c r="R50" s="63"/>
      <c r="S50" s="63"/>
    </row>
    <row r="51" spans="1:19">
      <c r="A51" s="70"/>
      <c r="B51" s="61"/>
      <c r="C51" s="66"/>
      <c r="D51" s="58"/>
      <c r="E51" s="49"/>
      <c r="F51" s="58"/>
      <c r="G51" s="26" t="s">
        <v>144</v>
      </c>
      <c r="H51" s="34">
        <v>0.62239999999999995</v>
      </c>
      <c r="I51" s="26">
        <v>0</v>
      </c>
      <c r="J51" s="26">
        <v>0</v>
      </c>
      <c r="K51" s="26">
        <v>0</v>
      </c>
      <c r="L51" s="68"/>
      <c r="M51" s="63"/>
      <c r="N51" s="70"/>
      <c r="O51" s="63"/>
      <c r="P51" s="63"/>
      <c r="Q51" s="63"/>
      <c r="R51" s="63"/>
      <c r="S51" s="63"/>
    </row>
    <row r="52" spans="1:19">
      <c r="A52" s="71"/>
      <c r="B52" s="62"/>
      <c r="C52" s="67"/>
      <c r="D52" s="59"/>
      <c r="E52" s="50"/>
      <c r="F52" s="59"/>
      <c r="G52" s="26" t="s">
        <v>145</v>
      </c>
      <c r="H52" s="34">
        <v>0.63080000000000003</v>
      </c>
      <c r="I52" s="26">
        <v>0</v>
      </c>
      <c r="J52" s="26">
        <v>0</v>
      </c>
      <c r="K52" s="26">
        <v>0</v>
      </c>
      <c r="L52" s="68"/>
      <c r="M52" s="63"/>
      <c r="N52" s="71"/>
      <c r="O52" s="63"/>
      <c r="P52" s="63"/>
      <c r="Q52" s="63"/>
      <c r="R52" s="63"/>
      <c r="S52" s="63"/>
    </row>
    <row r="53" spans="1:19">
      <c r="A53" s="72">
        <v>11</v>
      </c>
      <c r="B53" s="60" t="s">
        <v>379</v>
      </c>
      <c r="C53" s="75" t="s">
        <v>25</v>
      </c>
      <c r="D53" s="60" t="s">
        <v>27</v>
      </c>
      <c r="E53" s="51"/>
      <c r="F53" s="60" t="s">
        <v>408</v>
      </c>
      <c r="G53" s="25" t="s">
        <v>409</v>
      </c>
      <c r="H53" s="33">
        <v>0.41199999999999998</v>
      </c>
      <c r="I53" s="25">
        <v>0</v>
      </c>
      <c r="J53" s="25">
        <v>0</v>
      </c>
      <c r="K53" s="25">
        <v>1</v>
      </c>
      <c r="L53" s="78">
        <v>0</v>
      </c>
      <c r="M53" s="64">
        <v>3</v>
      </c>
      <c r="N53" s="72">
        <v>3</v>
      </c>
      <c r="O53" s="64">
        <v>3</v>
      </c>
      <c r="P53" s="64">
        <v>2</v>
      </c>
      <c r="Q53" s="64">
        <v>9.36</v>
      </c>
      <c r="R53" s="64">
        <v>0.81200000000000006</v>
      </c>
      <c r="S53" s="64">
        <v>0</v>
      </c>
    </row>
    <row r="54" spans="1:19">
      <c r="A54" s="73"/>
      <c r="B54" s="61"/>
      <c r="C54" s="76"/>
      <c r="D54" s="61"/>
      <c r="E54" s="52"/>
      <c r="F54" s="61"/>
      <c r="G54" s="25" t="s">
        <v>148</v>
      </c>
      <c r="H54" s="33">
        <v>0.41389999999999999</v>
      </c>
      <c r="I54" s="25">
        <v>0</v>
      </c>
      <c r="J54" s="25">
        <v>0</v>
      </c>
      <c r="K54" s="25">
        <v>1</v>
      </c>
      <c r="L54" s="78"/>
      <c r="M54" s="64"/>
      <c r="N54" s="73"/>
      <c r="O54" s="64"/>
      <c r="P54" s="64"/>
      <c r="Q54" s="64"/>
      <c r="R54" s="64"/>
      <c r="S54" s="64"/>
    </row>
    <row r="55" spans="1:19">
      <c r="A55" s="73"/>
      <c r="B55" s="61"/>
      <c r="C55" s="76"/>
      <c r="D55" s="61"/>
      <c r="E55" s="52"/>
      <c r="F55" s="61"/>
      <c r="G55" s="25" t="s">
        <v>410</v>
      </c>
      <c r="H55" s="33">
        <v>0.42149999999999999</v>
      </c>
      <c r="I55" s="25">
        <v>0</v>
      </c>
      <c r="J55" s="25">
        <v>0</v>
      </c>
      <c r="K55" s="25">
        <v>1</v>
      </c>
      <c r="L55" s="78"/>
      <c r="M55" s="64"/>
      <c r="N55" s="73"/>
      <c r="O55" s="64"/>
      <c r="P55" s="64"/>
      <c r="Q55" s="64"/>
      <c r="R55" s="64"/>
      <c r="S55" s="64"/>
    </row>
    <row r="56" spans="1:19">
      <c r="A56" s="73"/>
      <c r="B56" s="61"/>
      <c r="C56" s="76"/>
      <c r="D56" s="61"/>
      <c r="E56" s="52"/>
      <c r="F56" s="61"/>
      <c r="G56" s="25" t="s">
        <v>411</v>
      </c>
      <c r="H56" s="33">
        <v>0.42249999999999999</v>
      </c>
      <c r="I56" s="25">
        <v>0</v>
      </c>
      <c r="J56" s="25">
        <v>0</v>
      </c>
      <c r="K56" s="25">
        <v>1</v>
      </c>
      <c r="L56" s="78"/>
      <c r="M56" s="64"/>
      <c r="N56" s="73"/>
      <c r="O56" s="64"/>
      <c r="P56" s="64"/>
      <c r="Q56" s="64"/>
      <c r="R56" s="64"/>
      <c r="S56" s="64"/>
    </row>
    <row r="57" spans="1:19">
      <c r="A57" s="74"/>
      <c r="B57" s="62"/>
      <c r="C57" s="77"/>
      <c r="D57" s="62"/>
      <c r="E57" s="53"/>
      <c r="F57" s="62"/>
      <c r="G57" s="25" t="s">
        <v>412</v>
      </c>
      <c r="H57" s="33">
        <v>0.42270000000000002</v>
      </c>
      <c r="I57" s="25">
        <v>0</v>
      </c>
      <c r="J57" s="25">
        <v>0</v>
      </c>
      <c r="K57" s="25">
        <v>1</v>
      </c>
      <c r="L57" s="78"/>
      <c r="M57" s="64"/>
      <c r="N57" s="74"/>
      <c r="O57" s="64"/>
      <c r="P57" s="64"/>
      <c r="Q57" s="64"/>
      <c r="R57" s="64"/>
      <c r="S57" s="64"/>
    </row>
    <row r="58" spans="1:19">
      <c r="A58" s="69">
        <v>12</v>
      </c>
      <c r="B58" s="60" t="s">
        <v>379</v>
      </c>
      <c r="C58" s="65" t="s">
        <v>25</v>
      </c>
      <c r="D58" s="57" t="s">
        <v>44</v>
      </c>
      <c r="E58" s="48"/>
      <c r="F58" s="57" t="s">
        <v>413</v>
      </c>
      <c r="G58" s="26" t="s">
        <v>150</v>
      </c>
      <c r="H58" s="34">
        <v>0.31230000000000002</v>
      </c>
      <c r="I58" s="26">
        <v>0</v>
      </c>
      <c r="J58" s="26">
        <v>1</v>
      </c>
      <c r="K58" s="26">
        <v>1</v>
      </c>
      <c r="L58" s="68">
        <v>1</v>
      </c>
      <c r="M58" s="63">
        <v>3</v>
      </c>
      <c r="N58" s="69">
        <v>3</v>
      </c>
      <c r="O58" s="63">
        <v>3</v>
      </c>
      <c r="P58" s="63">
        <v>2</v>
      </c>
      <c r="Q58" s="63">
        <v>7.7770000000000001</v>
      </c>
      <c r="R58" s="63">
        <v>0.78</v>
      </c>
      <c r="S58" s="63">
        <v>0</v>
      </c>
    </row>
    <row r="59" spans="1:19">
      <c r="A59" s="70"/>
      <c r="B59" s="61"/>
      <c r="C59" s="66"/>
      <c r="D59" s="58"/>
      <c r="E59" s="49"/>
      <c r="F59" s="58"/>
      <c r="G59" s="26" t="s">
        <v>151</v>
      </c>
      <c r="H59" s="34">
        <v>0.34789999999999999</v>
      </c>
      <c r="I59" s="26">
        <v>0</v>
      </c>
      <c r="J59" s="26">
        <v>1</v>
      </c>
      <c r="K59" s="26">
        <v>1</v>
      </c>
      <c r="L59" s="68"/>
      <c r="M59" s="63"/>
      <c r="N59" s="70"/>
      <c r="O59" s="63"/>
      <c r="P59" s="63"/>
      <c r="Q59" s="63"/>
      <c r="R59" s="63"/>
      <c r="S59" s="63"/>
    </row>
    <row r="60" spans="1:19">
      <c r="A60" s="70"/>
      <c r="B60" s="61"/>
      <c r="C60" s="66"/>
      <c r="D60" s="58"/>
      <c r="E60" s="49"/>
      <c r="F60" s="58"/>
      <c r="G60" s="26" t="s">
        <v>152</v>
      </c>
      <c r="H60" s="34">
        <v>0.34949999999999998</v>
      </c>
      <c r="I60" s="26">
        <v>0</v>
      </c>
      <c r="J60" s="26">
        <v>1</v>
      </c>
      <c r="K60" s="26">
        <v>1</v>
      </c>
      <c r="L60" s="68"/>
      <c r="M60" s="63"/>
      <c r="N60" s="70"/>
      <c r="O60" s="63"/>
      <c r="P60" s="63"/>
      <c r="Q60" s="63"/>
      <c r="R60" s="63"/>
      <c r="S60" s="63"/>
    </row>
    <row r="61" spans="1:19">
      <c r="A61" s="70"/>
      <c r="B61" s="61"/>
      <c r="C61" s="66"/>
      <c r="D61" s="58"/>
      <c r="E61" s="49"/>
      <c r="F61" s="58"/>
      <c r="G61" s="26" t="s">
        <v>153</v>
      </c>
      <c r="H61" s="34">
        <v>0.3538</v>
      </c>
      <c r="I61" s="26">
        <v>0</v>
      </c>
      <c r="J61" s="26">
        <v>1</v>
      </c>
      <c r="K61" s="26">
        <v>1</v>
      </c>
      <c r="L61" s="68"/>
      <c r="M61" s="63"/>
      <c r="N61" s="70"/>
      <c r="O61" s="63"/>
      <c r="P61" s="63"/>
      <c r="Q61" s="63"/>
      <c r="R61" s="63"/>
      <c r="S61" s="63"/>
    </row>
    <row r="62" spans="1:19">
      <c r="A62" s="71"/>
      <c r="B62" s="62"/>
      <c r="C62" s="67"/>
      <c r="D62" s="59"/>
      <c r="E62" s="50"/>
      <c r="F62" s="59"/>
      <c r="G62" s="26" t="s">
        <v>154</v>
      </c>
      <c r="H62" s="34">
        <v>0.35670000000000002</v>
      </c>
      <c r="I62" s="26">
        <v>0</v>
      </c>
      <c r="J62" s="26">
        <v>1</v>
      </c>
      <c r="K62" s="26">
        <v>1</v>
      </c>
      <c r="L62" s="68"/>
      <c r="M62" s="63"/>
      <c r="N62" s="71"/>
      <c r="O62" s="63"/>
      <c r="P62" s="63"/>
      <c r="Q62" s="63"/>
      <c r="R62" s="63"/>
      <c r="S62" s="63"/>
    </row>
    <row r="63" spans="1:19">
      <c r="A63" s="72">
        <v>13</v>
      </c>
      <c r="B63" s="60" t="s">
        <v>379</v>
      </c>
      <c r="C63" s="75" t="s">
        <v>25</v>
      </c>
      <c r="D63" s="60" t="s">
        <v>156</v>
      </c>
      <c r="E63" s="51"/>
      <c r="F63" s="60" t="s">
        <v>414</v>
      </c>
      <c r="G63" s="25" t="s">
        <v>119</v>
      </c>
      <c r="H63" s="33">
        <v>0.39950000000000002</v>
      </c>
      <c r="I63" s="25">
        <v>0</v>
      </c>
      <c r="J63" s="25">
        <v>1</v>
      </c>
      <c r="K63" s="25">
        <v>1</v>
      </c>
      <c r="L63" s="78">
        <v>0.4</v>
      </c>
      <c r="M63" s="64">
        <v>3</v>
      </c>
      <c r="N63" s="72">
        <v>3</v>
      </c>
      <c r="O63" s="64">
        <v>3</v>
      </c>
      <c r="P63" s="64">
        <v>2</v>
      </c>
      <c r="Q63" s="64">
        <v>15.895</v>
      </c>
      <c r="R63" s="64">
        <v>1.081</v>
      </c>
      <c r="S63" s="64">
        <v>2.04</v>
      </c>
    </row>
    <row r="64" spans="1:19">
      <c r="A64" s="73"/>
      <c r="B64" s="61"/>
      <c r="C64" s="76"/>
      <c r="D64" s="61"/>
      <c r="E64" s="52"/>
      <c r="F64" s="61"/>
      <c r="G64" s="25" t="s">
        <v>158</v>
      </c>
      <c r="H64" s="33">
        <v>0.40479999999999999</v>
      </c>
      <c r="I64" s="25">
        <v>0</v>
      </c>
      <c r="J64" s="25">
        <v>1</v>
      </c>
      <c r="K64" s="25">
        <v>1</v>
      </c>
      <c r="L64" s="78"/>
      <c r="M64" s="64"/>
      <c r="N64" s="73"/>
      <c r="O64" s="64"/>
      <c r="P64" s="64"/>
      <c r="Q64" s="64"/>
      <c r="R64" s="64"/>
      <c r="S64" s="64"/>
    </row>
    <row r="65" spans="1:19">
      <c r="A65" s="73"/>
      <c r="B65" s="61"/>
      <c r="C65" s="76"/>
      <c r="D65" s="61"/>
      <c r="E65" s="52"/>
      <c r="F65" s="61"/>
      <c r="G65" s="25" t="s">
        <v>159</v>
      </c>
      <c r="H65" s="33">
        <v>0.41860000000000003</v>
      </c>
      <c r="I65" s="25">
        <v>0</v>
      </c>
      <c r="J65" s="25">
        <v>0</v>
      </c>
      <c r="K65" s="25">
        <v>1</v>
      </c>
      <c r="L65" s="78"/>
      <c r="M65" s="64"/>
      <c r="N65" s="73"/>
      <c r="O65" s="64"/>
      <c r="P65" s="64"/>
      <c r="Q65" s="64"/>
      <c r="R65" s="64"/>
      <c r="S65" s="64"/>
    </row>
    <row r="66" spans="1:19">
      <c r="A66" s="73"/>
      <c r="B66" s="61"/>
      <c r="C66" s="76"/>
      <c r="D66" s="61"/>
      <c r="E66" s="52"/>
      <c r="F66" s="61"/>
      <c r="G66" s="25" t="s">
        <v>160</v>
      </c>
      <c r="H66" s="33">
        <v>0.42649999999999999</v>
      </c>
      <c r="I66" s="25">
        <v>0</v>
      </c>
      <c r="J66" s="25">
        <v>0</v>
      </c>
      <c r="K66" s="25">
        <v>1</v>
      </c>
      <c r="L66" s="78"/>
      <c r="M66" s="64"/>
      <c r="N66" s="73"/>
      <c r="O66" s="64"/>
      <c r="P66" s="64"/>
      <c r="Q66" s="64"/>
      <c r="R66" s="64"/>
      <c r="S66" s="64"/>
    </row>
    <row r="67" spans="1:19">
      <c r="A67" s="74"/>
      <c r="B67" s="62"/>
      <c r="C67" s="77"/>
      <c r="D67" s="62"/>
      <c r="E67" s="53"/>
      <c r="F67" s="62"/>
      <c r="G67" s="25" t="s">
        <v>161</v>
      </c>
      <c r="H67" s="33">
        <v>0.42909999999999998</v>
      </c>
      <c r="I67" s="25">
        <v>0</v>
      </c>
      <c r="J67" s="25">
        <v>0</v>
      </c>
      <c r="K67" s="25">
        <v>1</v>
      </c>
      <c r="L67" s="78"/>
      <c r="M67" s="64"/>
      <c r="N67" s="74"/>
      <c r="O67" s="64"/>
      <c r="P67" s="64"/>
      <c r="Q67" s="64"/>
      <c r="R67" s="64"/>
      <c r="S67" s="64"/>
    </row>
    <row r="68" spans="1:19">
      <c r="A68" s="69">
        <v>14</v>
      </c>
      <c r="B68" s="60" t="s">
        <v>379</v>
      </c>
      <c r="C68" s="65" t="s">
        <v>25</v>
      </c>
      <c r="D68" s="57" t="s">
        <v>49</v>
      </c>
      <c r="E68" s="48"/>
      <c r="F68" s="57" t="s">
        <v>415</v>
      </c>
      <c r="G68" s="26" t="s">
        <v>163</v>
      </c>
      <c r="H68" s="34">
        <v>0.39660000000000001</v>
      </c>
      <c r="I68" s="26">
        <v>0</v>
      </c>
      <c r="J68" s="26">
        <v>1</v>
      </c>
      <c r="K68" s="26">
        <v>1</v>
      </c>
      <c r="L68" s="68">
        <v>0.2</v>
      </c>
      <c r="M68" s="63">
        <v>3</v>
      </c>
      <c r="N68" s="69">
        <v>3</v>
      </c>
      <c r="O68" s="63">
        <v>3</v>
      </c>
      <c r="P68" s="63">
        <v>2</v>
      </c>
      <c r="Q68" s="63">
        <v>7.7329999999999997</v>
      </c>
      <c r="R68" s="63">
        <v>1.169</v>
      </c>
      <c r="S68" s="63">
        <v>0</v>
      </c>
    </row>
    <row r="69" spans="1:19">
      <c r="A69" s="70"/>
      <c r="B69" s="61"/>
      <c r="C69" s="66"/>
      <c r="D69" s="58"/>
      <c r="E69" s="49"/>
      <c r="F69" s="58"/>
      <c r="G69" s="26" t="s">
        <v>218</v>
      </c>
      <c r="H69" s="34">
        <v>0.4088</v>
      </c>
      <c r="I69" s="26">
        <v>0</v>
      </c>
      <c r="J69" s="26">
        <v>0</v>
      </c>
      <c r="K69" s="26">
        <v>1</v>
      </c>
      <c r="L69" s="68"/>
      <c r="M69" s="63"/>
      <c r="N69" s="70"/>
      <c r="O69" s="63"/>
      <c r="P69" s="63"/>
      <c r="Q69" s="63"/>
      <c r="R69" s="63"/>
      <c r="S69" s="63"/>
    </row>
    <row r="70" spans="1:19">
      <c r="A70" s="70"/>
      <c r="B70" s="61"/>
      <c r="C70" s="66"/>
      <c r="D70" s="58"/>
      <c r="E70" s="49"/>
      <c r="F70" s="58"/>
      <c r="G70" s="26" t="s">
        <v>416</v>
      </c>
      <c r="H70" s="34">
        <v>0.41199999999999998</v>
      </c>
      <c r="I70" s="26">
        <v>0</v>
      </c>
      <c r="J70" s="26">
        <v>0</v>
      </c>
      <c r="K70" s="26">
        <v>1</v>
      </c>
      <c r="L70" s="68"/>
      <c r="M70" s="63"/>
      <c r="N70" s="70"/>
      <c r="O70" s="63"/>
      <c r="P70" s="63"/>
      <c r="Q70" s="63"/>
      <c r="R70" s="63"/>
      <c r="S70" s="63"/>
    </row>
    <row r="71" spans="1:19">
      <c r="A71" s="70"/>
      <c r="B71" s="61"/>
      <c r="C71" s="66"/>
      <c r="D71" s="58"/>
      <c r="E71" s="49"/>
      <c r="F71" s="58"/>
      <c r="G71" s="26" t="s">
        <v>417</v>
      </c>
      <c r="H71" s="34">
        <v>0.41830000000000001</v>
      </c>
      <c r="I71" s="26">
        <v>0</v>
      </c>
      <c r="J71" s="26">
        <v>0</v>
      </c>
      <c r="K71" s="26">
        <v>1</v>
      </c>
      <c r="L71" s="68"/>
      <c r="M71" s="63"/>
      <c r="N71" s="70"/>
      <c r="O71" s="63"/>
      <c r="P71" s="63"/>
      <c r="Q71" s="63"/>
      <c r="R71" s="63"/>
      <c r="S71" s="63"/>
    </row>
    <row r="72" spans="1:19">
      <c r="A72" s="71"/>
      <c r="B72" s="62"/>
      <c r="C72" s="67"/>
      <c r="D72" s="59"/>
      <c r="E72" s="50"/>
      <c r="F72" s="59"/>
      <c r="G72" t="s">
        <v>164</v>
      </c>
      <c r="H72" s="34">
        <v>0.42430000000000001</v>
      </c>
      <c r="I72" s="26">
        <v>0</v>
      </c>
      <c r="J72" s="26">
        <v>0</v>
      </c>
      <c r="K72" s="26">
        <v>1</v>
      </c>
      <c r="L72" s="68"/>
      <c r="M72" s="63"/>
      <c r="N72" s="71"/>
      <c r="O72" s="63"/>
      <c r="P72" s="63"/>
      <c r="Q72" s="63"/>
      <c r="R72" s="63"/>
      <c r="S72" s="63"/>
    </row>
    <row r="73" spans="1:19">
      <c r="A73" s="72">
        <v>15</v>
      </c>
      <c r="B73" s="60" t="s">
        <v>379</v>
      </c>
      <c r="C73" s="75" t="s">
        <v>25</v>
      </c>
      <c r="D73" s="60" t="s">
        <v>50</v>
      </c>
      <c r="E73" s="51"/>
      <c r="F73" s="60" t="s">
        <v>418</v>
      </c>
      <c r="G73" s="25" t="s">
        <v>170</v>
      </c>
      <c r="H73" s="33">
        <v>0.40479999999999999</v>
      </c>
      <c r="I73" s="25">
        <v>0</v>
      </c>
      <c r="J73" s="25">
        <v>0</v>
      </c>
      <c r="K73" s="25">
        <v>1</v>
      </c>
      <c r="L73" s="78">
        <v>0</v>
      </c>
      <c r="M73" s="64">
        <v>3</v>
      </c>
      <c r="N73" s="72">
        <v>1</v>
      </c>
      <c r="O73" s="64">
        <v>2</v>
      </c>
      <c r="P73" s="64">
        <v>2</v>
      </c>
      <c r="Q73" s="64">
        <v>7.5339999999999998</v>
      </c>
      <c r="R73" s="64">
        <v>0.95899999999999996</v>
      </c>
      <c r="S73" s="64">
        <v>0</v>
      </c>
    </row>
    <row r="74" spans="1:19">
      <c r="A74" s="73"/>
      <c r="B74" s="61"/>
      <c r="C74" s="76"/>
      <c r="D74" s="61"/>
      <c r="E74" s="52"/>
      <c r="F74" s="61"/>
      <c r="G74" s="25" t="s">
        <v>419</v>
      </c>
      <c r="H74" s="25">
        <v>0.41499999999999998</v>
      </c>
      <c r="I74" s="25">
        <v>0</v>
      </c>
      <c r="J74" s="25">
        <v>0</v>
      </c>
      <c r="K74" s="25">
        <v>1</v>
      </c>
      <c r="L74" s="78"/>
      <c r="M74" s="64"/>
      <c r="N74" s="73"/>
      <c r="O74" s="64"/>
      <c r="P74" s="64"/>
      <c r="Q74" s="64"/>
      <c r="R74" s="64"/>
      <c r="S74" s="64"/>
    </row>
    <row r="75" spans="1:19">
      <c r="A75" s="73"/>
      <c r="B75" s="61"/>
      <c r="C75" s="76"/>
      <c r="D75" s="61"/>
      <c r="E75" s="52"/>
      <c r="F75" s="61"/>
      <c r="G75" s="25" t="s">
        <v>171</v>
      </c>
      <c r="H75" s="25">
        <v>0.41839999999999999</v>
      </c>
      <c r="I75" s="25">
        <v>0</v>
      </c>
      <c r="J75" s="25">
        <v>0</v>
      </c>
      <c r="K75" s="25">
        <v>1</v>
      </c>
      <c r="L75" s="78"/>
      <c r="M75" s="64"/>
      <c r="N75" s="73"/>
      <c r="O75" s="64"/>
      <c r="P75" s="64"/>
      <c r="Q75" s="64"/>
      <c r="R75" s="64"/>
      <c r="S75" s="64"/>
    </row>
    <row r="76" spans="1:19">
      <c r="A76" s="73"/>
      <c r="B76" s="61"/>
      <c r="C76" s="76"/>
      <c r="D76" s="61"/>
      <c r="E76" s="52"/>
      <c r="F76" s="61"/>
      <c r="G76" s="25" t="s">
        <v>173</v>
      </c>
      <c r="H76" s="25">
        <v>0.41849999999999998</v>
      </c>
      <c r="I76" s="25">
        <v>0</v>
      </c>
      <c r="J76" s="25">
        <v>0</v>
      </c>
      <c r="K76" s="25">
        <v>1</v>
      </c>
      <c r="L76" s="78"/>
      <c r="M76" s="64"/>
      <c r="N76" s="73"/>
      <c r="O76" s="64"/>
      <c r="P76" s="64"/>
      <c r="Q76" s="64"/>
      <c r="R76" s="64"/>
      <c r="S76" s="64"/>
    </row>
    <row r="77" spans="1:19">
      <c r="A77" s="74"/>
      <c r="B77" s="62"/>
      <c r="C77" s="77"/>
      <c r="D77" s="62"/>
      <c r="E77" s="53"/>
      <c r="F77" s="62"/>
      <c r="G77" s="25" t="s">
        <v>169</v>
      </c>
      <c r="H77" s="25">
        <v>0.42399999999999999</v>
      </c>
      <c r="I77" s="25">
        <v>0</v>
      </c>
      <c r="J77" s="25">
        <v>0</v>
      </c>
      <c r="K77" s="25">
        <v>1</v>
      </c>
      <c r="L77" s="78"/>
      <c r="M77" s="64"/>
      <c r="N77" s="74"/>
      <c r="O77" s="64"/>
      <c r="P77" s="64"/>
      <c r="Q77" s="64"/>
      <c r="R77" s="64"/>
      <c r="S77" s="64"/>
    </row>
    <row r="78" spans="1:19">
      <c r="A78" s="69">
        <v>16</v>
      </c>
      <c r="B78" s="60" t="s">
        <v>379</v>
      </c>
      <c r="C78" s="65" t="s">
        <v>25</v>
      </c>
      <c r="D78" s="57" t="s">
        <v>46</v>
      </c>
      <c r="E78" s="48"/>
      <c r="F78" s="57" t="s">
        <v>420</v>
      </c>
      <c r="G78" s="26" t="s">
        <v>178</v>
      </c>
      <c r="H78" s="26">
        <v>0.41749999999999998</v>
      </c>
      <c r="I78" s="26">
        <v>0</v>
      </c>
      <c r="J78" s="26">
        <v>0</v>
      </c>
      <c r="K78" s="26">
        <v>1</v>
      </c>
      <c r="L78" s="68">
        <v>0</v>
      </c>
      <c r="M78" s="63">
        <v>3</v>
      </c>
      <c r="N78" s="69">
        <v>3</v>
      </c>
      <c r="O78" s="63">
        <v>3</v>
      </c>
      <c r="P78" s="63">
        <v>2</v>
      </c>
      <c r="Q78" s="63">
        <v>8.032</v>
      </c>
      <c r="R78" s="63">
        <v>1.31</v>
      </c>
      <c r="S78" s="63">
        <v>0</v>
      </c>
    </row>
    <row r="79" spans="1:19">
      <c r="A79" s="70"/>
      <c r="B79" s="61"/>
      <c r="C79" s="66"/>
      <c r="D79" s="58"/>
      <c r="E79" s="49"/>
      <c r="F79" s="58"/>
      <c r="G79" s="26" t="s">
        <v>421</v>
      </c>
      <c r="H79" s="26">
        <v>0.43759999999999999</v>
      </c>
      <c r="I79" s="26">
        <v>0</v>
      </c>
      <c r="J79" s="26">
        <v>0</v>
      </c>
      <c r="K79" s="26">
        <v>1</v>
      </c>
      <c r="L79" s="68"/>
      <c r="M79" s="63"/>
      <c r="N79" s="70"/>
      <c r="O79" s="63"/>
      <c r="P79" s="63"/>
      <c r="Q79" s="63"/>
      <c r="R79" s="63"/>
      <c r="S79" s="63"/>
    </row>
    <row r="80" spans="1:19">
      <c r="A80" s="70"/>
      <c r="B80" s="61"/>
      <c r="C80" s="66"/>
      <c r="D80" s="58"/>
      <c r="E80" s="49"/>
      <c r="F80" s="58"/>
      <c r="G80" s="26" t="s">
        <v>88</v>
      </c>
      <c r="H80" s="26">
        <v>0.4466</v>
      </c>
      <c r="I80" s="26">
        <v>0</v>
      </c>
      <c r="J80" s="26">
        <v>0</v>
      </c>
      <c r="K80" s="26">
        <v>1</v>
      </c>
      <c r="L80" s="68"/>
      <c r="M80" s="63"/>
      <c r="N80" s="70"/>
      <c r="O80" s="63"/>
      <c r="P80" s="63"/>
      <c r="Q80" s="63"/>
      <c r="R80" s="63"/>
      <c r="S80" s="63"/>
    </row>
    <row r="81" spans="1:19">
      <c r="A81" s="70"/>
      <c r="B81" s="61"/>
      <c r="C81" s="66"/>
      <c r="D81" s="58"/>
      <c r="E81" s="49"/>
      <c r="F81" s="58"/>
      <c r="G81" s="26" t="s">
        <v>422</v>
      </c>
      <c r="H81" s="26">
        <v>0.45169999999999999</v>
      </c>
      <c r="I81" s="26">
        <v>0</v>
      </c>
      <c r="J81" s="26">
        <v>0</v>
      </c>
      <c r="K81" s="26">
        <v>1</v>
      </c>
      <c r="L81" s="68"/>
      <c r="M81" s="63"/>
      <c r="N81" s="70"/>
      <c r="O81" s="63"/>
      <c r="P81" s="63"/>
      <c r="Q81" s="63"/>
      <c r="R81" s="63"/>
      <c r="S81" s="63"/>
    </row>
    <row r="82" spans="1:19">
      <c r="A82" s="71"/>
      <c r="B82" s="62"/>
      <c r="C82" s="67"/>
      <c r="D82" s="59"/>
      <c r="E82" s="50"/>
      <c r="F82" s="59"/>
      <c r="G82" s="26" t="s">
        <v>423</v>
      </c>
      <c r="H82" s="26">
        <v>0.45300000000000001</v>
      </c>
      <c r="I82" s="26">
        <v>0</v>
      </c>
      <c r="J82" s="26">
        <v>0</v>
      </c>
      <c r="K82" s="26">
        <v>1</v>
      </c>
      <c r="L82" s="68"/>
      <c r="M82" s="63"/>
      <c r="N82" s="71"/>
      <c r="O82" s="63"/>
      <c r="P82" s="63"/>
      <c r="Q82" s="63"/>
      <c r="R82" s="63"/>
      <c r="S82" s="63"/>
    </row>
    <row r="83" spans="1:19" ht="15.6" customHeight="1">
      <c r="A83" s="72">
        <v>17</v>
      </c>
      <c r="B83" s="60" t="s">
        <v>379</v>
      </c>
      <c r="C83" s="75" t="s">
        <v>25</v>
      </c>
      <c r="D83" s="60" t="s">
        <v>47</v>
      </c>
      <c r="E83" s="51"/>
      <c r="F83" s="60" t="s">
        <v>424</v>
      </c>
      <c r="G83" s="25" t="s">
        <v>182</v>
      </c>
      <c r="H83" s="25">
        <v>0.31240000000000001</v>
      </c>
      <c r="I83" s="25">
        <v>0</v>
      </c>
      <c r="J83" s="25">
        <v>1</v>
      </c>
      <c r="K83" s="25">
        <v>1</v>
      </c>
      <c r="L83" s="78">
        <v>1</v>
      </c>
      <c r="M83" s="64">
        <v>2</v>
      </c>
      <c r="N83" s="72">
        <v>2</v>
      </c>
      <c r="O83" s="64">
        <v>3</v>
      </c>
      <c r="P83" s="64">
        <v>2</v>
      </c>
      <c r="Q83" s="64">
        <v>13.484999999999999</v>
      </c>
      <c r="R83" s="64">
        <v>13.484999999999999</v>
      </c>
      <c r="S83" s="64">
        <v>1.7250000000000001</v>
      </c>
    </row>
    <row r="84" spans="1:19">
      <c r="A84" s="73"/>
      <c r="B84" s="61"/>
      <c r="C84" s="76"/>
      <c r="D84" s="61"/>
      <c r="E84" s="52"/>
      <c r="F84" s="61"/>
      <c r="G84" s="25" t="s">
        <v>184</v>
      </c>
      <c r="H84" s="25">
        <v>0.34549999999999997</v>
      </c>
      <c r="I84" s="25">
        <v>0</v>
      </c>
      <c r="J84" s="25">
        <v>1</v>
      </c>
      <c r="K84" s="25">
        <v>1</v>
      </c>
      <c r="L84" s="78"/>
      <c r="M84" s="64"/>
      <c r="N84" s="73"/>
      <c r="O84" s="64"/>
      <c r="P84" s="64"/>
      <c r="Q84" s="64"/>
      <c r="R84" s="64"/>
      <c r="S84" s="64"/>
    </row>
    <row r="85" spans="1:19">
      <c r="A85" s="73"/>
      <c r="B85" s="61"/>
      <c r="C85" s="76"/>
      <c r="D85" s="61"/>
      <c r="E85" s="52"/>
      <c r="F85" s="61"/>
      <c r="G85" s="25" t="s">
        <v>425</v>
      </c>
      <c r="H85" s="25">
        <v>0.36180000000000001</v>
      </c>
      <c r="I85" s="25">
        <v>0</v>
      </c>
      <c r="J85" s="25">
        <v>1</v>
      </c>
      <c r="K85" s="25">
        <v>1</v>
      </c>
      <c r="L85" s="78"/>
      <c r="M85" s="64"/>
      <c r="N85" s="73"/>
      <c r="O85" s="64"/>
      <c r="P85" s="64"/>
      <c r="Q85" s="64"/>
      <c r="R85" s="64"/>
      <c r="S85" s="64"/>
    </row>
    <row r="86" spans="1:19">
      <c r="A86" s="73"/>
      <c r="B86" s="61"/>
      <c r="C86" s="76"/>
      <c r="D86" s="61"/>
      <c r="E86" s="52"/>
      <c r="F86" s="61"/>
      <c r="G86" s="25" t="s">
        <v>426</v>
      </c>
      <c r="H86" s="25">
        <v>0.37159999999999999</v>
      </c>
      <c r="I86" s="25">
        <v>0</v>
      </c>
      <c r="J86" s="25">
        <v>1</v>
      </c>
      <c r="K86" s="25">
        <v>1</v>
      </c>
      <c r="L86" s="78"/>
      <c r="M86" s="64"/>
      <c r="N86" s="73"/>
      <c r="O86" s="64"/>
      <c r="P86" s="64"/>
      <c r="Q86" s="64"/>
      <c r="R86" s="64"/>
      <c r="S86" s="64"/>
    </row>
    <row r="87" spans="1:19">
      <c r="A87" s="74"/>
      <c r="B87" s="62"/>
      <c r="C87" s="77"/>
      <c r="D87" s="62"/>
      <c r="E87" s="53"/>
      <c r="F87" s="62"/>
      <c r="G87" s="25" t="s">
        <v>427</v>
      </c>
      <c r="H87" s="25">
        <v>0.37309999999999999</v>
      </c>
      <c r="I87" s="25">
        <v>0</v>
      </c>
      <c r="J87" s="25">
        <v>1</v>
      </c>
      <c r="K87" s="25">
        <v>1</v>
      </c>
      <c r="L87" s="78"/>
      <c r="M87" s="64"/>
      <c r="N87" s="74"/>
      <c r="O87" s="64"/>
      <c r="P87" s="64"/>
      <c r="Q87" s="64"/>
      <c r="R87" s="64"/>
      <c r="S87" s="64"/>
    </row>
    <row r="88" spans="1:19">
      <c r="A88" s="69">
        <v>18</v>
      </c>
      <c r="B88" s="60" t="s">
        <v>379</v>
      </c>
      <c r="C88" s="65" t="s">
        <v>25</v>
      </c>
      <c r="D88" s="57" t="s">
        <v>48</v>
      </c>
      <c r="E88" s="48"/>
      <c r="F88" s="57" t="s">
        <v>428</v>
      </c>
      <c r="G88" s="26" t="s">
        <v>190</v>
      </c>
      <c r="H88" s="26">
        <v>0.26989999999999997</v>
      </c>
      <c r="I88" s="26">
        <v>1</v>
      </c>
      <c r="J88" s="26">
        <v>1</v>
      </c>
      <c r="K88" s="26">
        <v>1</v>
      </c>
      <c r="L88" s="68">
        <v>1</v>
      </c>
      <c r="M88" s="63">
        <v>3</v>
      </c>
      <c r="N88" s="69">
        <v>3</v>
      </c>
      <c r="O88" s="63">
        <v>3</v>
      </c>
      <c r="P88" s="63">
        <v>2</v>
      </c>
      <c r="Q88" s="63">
        <v>8.3000000000000007</v>
      </c>
      <c r="R88" s="63">
        <v>0.93</v>
      </c>
      <c r="S88" s="63">
        <v>0</v>
      </c>
    </row>
    <row r="89" spans="1:19">
      <c r="A89" s="70"/>
      <c r="B89" s="61"/>
      <c r="C89" s="66"/>
      <c r="D89" s="58"/>
      <c r="E89" s="49"/>
      <c r="F89" s="58"/>
      <c r="G89" s="26" t="s">
        <v>191</v>
      </c>
      <c r="H89" s="26">
        <v>0.2722</v>
      </c>
      <c r="I89" s="26">
        <v>1</v>
      </c>
      <c r="J89" s="26">
        <v>1</v>
      </c>
      <c r="K89" s="26">
        <v>1</v>
      </c>
      <c r="L89" s="68"/>
      <c r="M89" s="63"/>
      <c r="N89" s="70"/>
      <c r="O89" s="63"/>
      <c r="P89" s="63"/>
      <c r="Q89" s="63"/>
      <c r="R89" s="63"/>
      <c r="S89" s="63"/>
    </row>
    <row r="90" spans="1:19">
      <c r="A90" s="70"/>
      <c r="B90" s="61"/>
      <c r="C90" s="66"/>
      <c r="D90" s="58"/>
      <c r="E90" s="49"/>
      <c r="F90" s="58"/>
      <c r="G90" s="26" t="s">
        <v>192</v>
      </c>
      <c r="H90" s="26">
        <v>0.28749999999999998</v>
      </c>
      <c r="I90" s="26">
        <v>1</v>
      </c>
      <c r="J90" s="26">
        <v>1</v>
      </c>
      <c r="K90" s="26">
        <v>1</v>
      </c>
      <c r="L90" s="68"/>
      <c r="M90" s="63"/>
      <c r="N90" s="70"/>
      <c r="O90" s="63"/>
      <c r="P90" s="63"/>
      <c r="Q90" s="63"/>
      <c r="R90" s="63"/>
      <c r="S90" s="63"/>
    </row>
    <row r="91" spans="1:19">
      <c r="A91" s="70"/>
      <c r="B91" s="61"/>
      <c r="C91" s="66"/>
      <c r="D91" s="58"/>
      <c r="E91" s="49"/>
      <c r="F91" s="58"/>
      <c r="G91" s="26" t="s">
        <v>189</v>
      </c>
      <c r="H91" s="26">
        <v>0.29549999999999998</v>
      </c>
      <c r="I91" s="26">
        <v>1</v>
      </c>
      <c r="J91" s="26">
        <v>1</v>
      </c>
      <c r="K91" s="26">
        <v>1</v>
      </c>
      <c r="L91" s="68"/>
      <c r="M91" s="63"/>
      <c r="N91" s="70"/>
      <c r="O91" s="63"/>
      <c r="P91" s="63"/>
      <c r="Q91" s="63"/>
      <c r="R91" s="63"/>
      <c r="S91" s="63"/>
    </row>
    <row r="92" spans="1:19">
      <c r="A92" s="71"/>
      <c r="B92" s="62"/>
      <c r="C92" s="67"/>
      <c r="D92" s="59"/>
      <c r="E92" s="50"/>
      <c r="F92" s="59"/>
      <c r="G92" s="26" t="s">
        <v>188</v>
      </c>
      <c r="H92" s="26">
        <v>0.30769999999999997</v>
      </c>
      <c r="I92" s="26">
        <v>0</v>
      </c>
      <c r="J92" s="26">
        <v>1</v>
      </c>
      <c r="K92" s="26">
        <v>1</v>
      </c>
      <c r="L92" s="68"/>
      <c r="M92" s="63"/>
      <c r="N92" s="71"/>
      <c r="O92" s="63"/>
      <c r="P92" s="63"/>
      <c r="Q92" s="63"/>
      <c r="R92" s="63"/>
      <c r="S92" s="63"/>
    </row>
    <row r="93" spans="1:19">
      <c r="A93" s="72">
        <v>19</v>
      </c>
      <c r="B93" s="60" t="s">
        <v>379</v>
      </c>
      <c r="C93" s="75" t="s">
        <v>25</v>
      </c>
      <c r="D93" s="60" t="s">
        <v>51</v>
      </c>
      <c r="E93" s="51"/>
      <c r="F93" s="60" t="s">
        <v>429</v>
      </c>
      <c r="G93" s="25" t="s">
        <v>194</v>
      </c>
      <c r="H93" s="25">
        <v>0.47139999999999999</v>
      </c>
      <c r="I93" s="25">
        <v>0</v>
      </c>
      <c r="J93" s="25">
        <v>0</v>
      </c>
      <c r="K93" s="25">
        <v>1</v>
      </c>
      <c r="L93" s="78">
        <v>0</v>
      </c>
      <c r="M93" s="64">
        <v>3</v>
      </c>
      <c r="N93" s="72">
        <v>3</v>
      </c>
      <c r="O93" s="64">
        <v>3</v>
      </c>
      <c r="P93" s="64">
        <v>2</v>
      </c>
      <c r="Q93" s="64">
        <v>14.01</v>
      </c>
      <c r="R93" s="64">
        <v>1.399</v>
      </c>
      <c r="S93" s="64">
        <v>0</v>
      </c>
    </row>
    <row r="94" spans="1:19">
      <c r="A94" s="73"/>
      <c r="B94" s="61"/>
      <c r="C94" s="76"/>
      <c r="D94" s="61"/>
      <c r="E94" s="52"/>
      <c r="F94" s="61"/>
      <c r="G94" s="25" t="s">
        <v>430</v>
      </c>
      <c r="H94" s="25">
        <v>0.50370000000000004</v>
      </c>
      <c r="I94" s="25">
        <v>0</v>
      </c>
      <c r="J94" s="25">
        <v>0</v>
      </c>
      <c r="K94" s="25">
        <v>1</v>
      </c>
      <c r="L94" s="78"/>
      <c r="M94" s="64"/>
      <c r="N94" s="73"/>
      <c r="O94" s="64"/>
      <c r="P94" s="64"/>
      <c r="Q94" s="64"/>
      <c r="R94" s="64"/>
      <c r="S94" s="64"/>
    </row>
    <row r="95" spans="1:19">
      <c r="A95" s="73"/>
      <c r="B95" s="61"/>
      <c r="C95" s="76"/>
      <c r="D95" s="61"/>
      <c r="E95" s="52"/>
      <c r="F95" s="61"/>
      <c r="G95" s="25" t="s">
        <v>197</v>
      </c>
      <c r="H95" s="25">
        <v>0.51900000000000002</v>
      </c>
      <c r="I95" s="25">
        <v>0</v>
      </c>
      <c r="J95" s="25">
        <v>0</v>
      </c>
      <c r="K95" s="25">
        <v>0</v>
      </c>
      <c r="L95" s="78"/>
      <c r="M95" s="64"/>
      <c r="N95" s="73"/>
      <c r="O95" s="64"/>
      <c r="P95" s="64"/>
      <c r="Q95" s="64"/>
      <c r="R95" s="64"/>
      <c r="S95" s="64"/>
    </row>
    <row r="96" spans="1:19">
      <c r="A96" s="73"/>
      <c r="B96" s="61"/>
      <c r="C96" s="76"/>
      <c r="D96" s="61"/>
      <c r="E96" s="52"/>
      <c r="F96" s="61"/>
      <c r="G96" s="25" t="s">
        <v>198</v>
      </c>
      <c r="H96" s="25">
        <v>0.52349999999999997</v>
      </c>
      <c r="I96" s="25">
        <v>0</v>
      </c>
      <c r="J96" s="25">
        <v>0</v>
      </c>
      <c r="K96" s="25">
        <v>0</v>
      </c>
      <c r="L96" s="78"/>
      <c r="M96" s="64"/>
      <c r="N96" s="73"/>
      <c r="O96" s="64"/>
      <c r="P96" s="64"/>
      <c r="Q96" s="64"/>
      <c r="R96" s="64"/>
      <c r="S96" s="64"/>
    </row>
    <row r="97" spans="1:19">
      <c r="A97" s="74"/>
      <c r="B97" s="62"/>
      <c r="C97" s="77"/>
      <c r="D97" s="62"/>
      <c r="E97" s="53"/>
      <c r="F97" s="62"/>
      <c r="G97" s="25" t="s">
        <v>195</v>
      </c>
      <c r="H97" s="25">
        <v>0.53359999999999996</v>
      </c>
      <c r="I97" s="25">
        <v>0</v>
      </c>
      <c r="J97" s="25">
        <v>0</v>
      </c>
      <c r="K97" s="25">
        <v>0</v>
      </c>
      <c r="L97" s="78"/>
      <c r="M97" s="64"/>
      <c r="N97" s="74"/>
      <c r="O97" s="64"/>
      <c r="P97" s="64"/>
      <c r="Q97" s="64"/>
      <c r="R97" s="64"/>
      <c r="S97" s="64"/>
    </row>
    <row r="98" spans="1:19">
      <c r="A98" s="69">
        <v>20</v>
      </c>
      <c r="B98" s="60" t="s">
        <v>379</v>
      </c>
      <c r="C98" s="65" t="s">
        <v>25</v>
      </c>
      <c r="D98" s="57" t="s">
        <v>52</v>
      </c>
      <c r="E98" s="48"/>
      <c r="F98" s="57" t="s">
        <v>431</v>
      </c>
      <c r="G98" s="26" t="s">
        <v>200</v>
      </c>
      <c r="H98" s="26">
        <v>0.44500000000000001</v>
      </c>
      <c r="I98" s="26">
        <v>0</v>
      </c>
      <c r="J98" s="26">
        <v>0</v>
      </c>
      <c r="K98" s="26">
        <v>1</v>
      </c>
      <c r="L98" s="68">
        <v>0</v>
      </c>
      <c r="M98" s="63">
        <v>3</v>
      </c>
      <c r="N98" s="69">
        <v>2</v>
      </c>
      <c r="O98" s="63">
        <v>3</v>
      </c>
      <c r="P98" s="63">
        <v>2</v>
      </c>
      <c r="Q98" s="63">
        <v>14.772</v>
      </c>
      <c r="R98" s="63">
        <v>0.88600000000000001</v>
      </c>
      <c r="S98" s="63">
        <v>0</v>
      </c>
    </row>
    <row r="99" spans="1:19">
      <c r="A99" s="70"/>
      <c r="B99" s="61"/>
      <c r="C99" s="66"/>
      <c r="D99" s="58"/>
      <c r="E99" s="49"/>
      <c r="F99" s="58"/>
      <c r="G99" s="26" t="s">
        <v>201</v>
      </c>
      <c r="H99" s="26">
        <v>0.45429999999999998</v>
      </c>
      <c r="I99" s="26">
        <v>0</v>
      </c>
      <c r="J99" s="26">
        <v>0</v>
      </c>
      <c r="K99" s="26">
        <v>1</v>
      </c>
      <c r="L99" s="68"/>
      <c r="M99" s="63"/>
      <c r="N99" s="70"/>
      <c r="O99" s="63"/>
      <c r="P99" s="63"/>
      <c r="Q99" s="63"/>
      <c r="R99" s="63"/>
      <c r="S99" s="63"/>
    </row>
    <row r="100" spans="1:19">
      <c r="A100" s="70"/>
      <c r="B100" s="61"/>
      <c r="C100" s="66"/>
      <c r="D100" s="58"/>
      <c r="E100" s="49"/>
      <c r="F100" s="58"/>
      <c r="G100" s="26" t="s">
        <v>202</v>
      </c>
      <c r="H100" s="26">
        <v>0.46810000000000002</v>
      </c>
      <c r="I100" s="26">
        <v>0</v>
      </c>
      <c r="J100" s="26">
        <v>0</v>
      </c>
      <c r="K100" s="26">
        <v>1</v>
      </c>
      <c r="L100" s="68"/>
      <c r="M100" s="63"/>
      <c r="N100" s="70"/>
      <c r="O100" s="63"/>
      <c r="P100" s="63"/>
      <c r="Q100" s="63"/>
      <c r="R100" s="63"/>
      <c r="S100" s="63"/>
    </row>
    <row r="101" spans="1:19">
      <c r="A101" s="70"/>
      <c r="B101" s="61"/>
      <c r="C101" s="66"/>
      <c r="D101" s="58"/>
      <c r="E101" s="49"/>
      <c r="F101" s="58"/>
      <c r="G101" s="26" t="s">
        <v>203</v>
      </c>
      <c r="H101" s="26">
        <v>0.48130000000000001</v>
      </c>
      <c r="I101" s="26">
        <v>0</v>
      </c>
      <c r="J101" s="26">
        <v>0</v>
      </c>
      <c r="K101" s="26">
        <v>1</v>
      </c>
      <c r="L101" s="68"/>
      <c r="M101" s="63"/>
      <c r="N101" s="70"/>
      <c r="O101" s="63"/>
      <c r="P101" s="63"/>
      <c r="Q101" s="63"/>
      <c r="R101" s="63"/>
      <c r="S101" s="63"/>
    </row>
    <row r="102" spans="1:19">
      <c r="A102" s="71"/>
      <c r="B102" s="62"/>
      <c r="C102" s="67"/>
      <c r="D102" s="59"/>
      <c r="E102" s="50"/>
      <c r="F102" s="59"/>
      <c r="G102" s="26" t="s">
        <v>432</v>
      </c>
      <c r="H102" s="26">
        <v>0.4829</v>
      </c>
      <c r="I102" s="26">
        <v>0</v>
      </c>
      <c r="J102" s="26">
        <v>0</v>
      </c>
      <c r="K102" s="26">
        <v>1</v>
      </c>
      <c r="L102" s="68"/>
      <c r="M102" s="63"/>
      <c r="N102" s="71"/>
      <c r="O102" s="63"/>
      <c r="P102" s="63"/>
      <c r="Q102" s="63"/>
      <c r="R102" s="63"/>
      <c r="S102" s="63"/>
    </row>
    <row r="103" spans="1:19">
      <c r="A103" s="72">
        <v>21</v>
      </c>
      <c r="B103" s="60" t="s">
        <v>379</v>
      </c>
      <c r="C103" s="75" t="s">
        <v>32</v>
      </c>
      <c r="D103" s="60" t="s">
        <v>29</v>
      </c>
      <c r="E103" s="51"/>
      <c r="F103" s="60" t="s">
        <v>433</v>
      </c>
      <c r="G103" s="25" t="s">
        <v>434</v>
      </c>
      <c r="H103" s="25">
        <v>0.50170000000000003</v>
      </c>
      <c r="I103" s="25">
        <v>0</v>
      </c>
      <c r="J103" s="25">
        <v>0</v>
      </c>
      <c r="K103" s="25">
        <v>0</v>
      </c>
      <c r="L103" s="78">
        <v>0</v>
      </c>
      <c r="M103" s="64">
        <v>3</v>
      </c>
      <c r="N103" s="72">
        <v>2</v>
      </c>
      <c r="O103" s="64">
        <v>3</v>
      </c>
      <c r="P103" s="64">
        <v>2</v>
      </c>
      <c r="Q103" s="64">
        <v>15.276999999999999</v>
      </c>
      <c r="R103" s="64">
        <v>0.84199999999999997</v>
      </c>
      <c r="S103" s="64">
        <v>1.81</v>
      </c>
    </row>
    <row r="104" spans="1:19">
      <c r="A104" s="73"/>
      <c r="B104" s="61"/>
      <c r="C104" s="76"/>
      <c r="D104" s="61"/>
      <c r="E104" s="52"/>
      <c r="F104" s="61"/>
      <c r="G104" s="25" t="s">
        <v>209</v>
      </c>
      <c r="H104" s="25">
        <v>0.5181</v>
      </c>
      <c r="I104" s="25">
        <v>0</v>
      </c>
      <c r="J104" s="25">
        <v>0</v>
      </c>
      <c r="K104" s="25">
        <v>0</v>
      </c>
      <c r="L104" s="78"/>
      <c r="M104" s="64"/>
      <c r="N104" s="73"/>
      <c r="O104" s="64"/>
      <c r="P104" s="64"/>
      <c r="Q104" s="64"/>
      <c r="R104" s="64"/>
      <c r="S104" s="64"/>
    </row>
    <row r="105" spans="1:19">
      <c r="A105" s="73"/>
      <c r="B105" s="61"/>
      <c r="C105" s="76"/>
      <c r="D105" s="61"/>
      <c r="E105" s="52"/>
      <c r="F105" s="61"/>
      <c r="G105" s="25" t="s">
        <v>435</v>
      </c>
      <c r="H105" s="25">
        <v>0.52780000000000005</v>
      </c>
      <c r="I105" s="25">
        <v>0</v>
      </c>
      <c r="J105" s="25">
        <v>0</v>
      </c>
      <c r="K105" s="25">
        <v>0</v>
      </c>
      <c r="L105" s="78"/>
      <c r="M105" s="64"/>
      <c r="N105" s="73"/>
      <c r="O105" s="64"/>
      <c r="P105" s="64"/>
      <c r="Q105" s="64"/>
      <c r="R105" s="64"/>
      <c r="S105" s="64"/>
    </row>
    <row r="106" spans="1:19">
      <c r="A106" s="73"/>
      <c r="B106" s="61"/>
      <c r="C106" s="76"/>
      <c r="D106" s="61"/>
      <c r="E106" s="52"/>
      <c r="F106" s="61"/>
      <c r="G106" s="25" t="s">
        <v>388</v>
      </c>
      <c r="H106" s="25">
        <v>0.52869999999999995</v>
      </c>
      <c r="I106" s="25">
        <v>0</v>
      </c>
      <c r="J106" s="25">
        <v>0</v>
      </c>
      <c r="K106" s="25">
        <v>0</v>
      </c>
      <c r="L106" s="78"/>
      <c r="M106" s="64"/>
      <c r="N106" s="73"/>
      <c r="O106" s="64"/>
      <c r="P106" s="64"/>
      <c r="Q106" s="64"/>
      <c r="R106" s="64"/>
      <c r="S106" s="64"/>
    </row>
    <row r="107" spans="1:19">
      <c r="A107" s="74"/>
      <c r="B107" s="62"/>
      <c r="C107" s="77"/>
      <c r="D107" s="62"/>
      <c r="E107" s="53"/>
      <c r="F107" s="62"/>
      <c r="G107" s="25" t="s">
        <v>210</v>
      </c>
      <c r="H107" s="25">
        <v>0.5302</v>
      </c>
      <c r="I107" s="25">
        <v>0</v>
      </c>
      <c r="J107" s="25">
        <v>0</v>
      </c>
      <c r="K107" s="25">
        <v>0</v>
      </c>
      <c r="L107" s="78"/>
      <c r="M107" s="64"/>
      <c r="N107" s="74"/>
      <c r="O107" s="64"/>
      <c r="P107" s="64"/>
      <c r="Q107" s="64"/>
      <c r="R107" s="64"/>
      <c r="S107" s="64"/>
    </row>
    <row r="108" spans="1:19">
      <c r="A108" s="69">
        <v>22</v>
      </c>
      <c r="B108" s="60" t="s">
        <v>379</v>
      </c>
      <c r="C108" s="65" t="s">
        <v>32</v>
      </c>
      <c r="D108" s="57" t="s">
        <v>53</v>
      </c>
      <c r="E108" s="48"/>
      <c r="F108" s="57" t="s">
        <v>436</v>
      </c>
      <c r="G108" s="26" t="s">
        <v>213</v>
      </c>
      <c r="H108" s="26">
        <v>0.39610000000000001</v>
      </c>
      <c r="I108" s="26">
        <v>0</v>
      </c>
      <c r="J108" s="26">
        <v>1</v>
      </c>
      <c r="K108" s="26">
        <v>1</v>
      </c>
      <c r="L108" s="68">
        <v>1</v>
      </c>
      <c r="M108" s="63">
        <v>3</v>
      </c>
      <c r="N108" s="69">
        <v>2</v>
      </c>
      <c r="O108" s="63">
        <v>3</v>
      </c>
      <c r="P108" s="63">
        <v>2</v>
      </c>
      <c r="Q108" s="79">
        <v>31.850999999999999</v>
      </c>
      <c r="R108" s="63">
        <v>0.6</v>
      </c>
      <c r="S108" s="63">
        <v>0</v>
      </c>
    </row>
    <row r="109" spans="1:19">
      <c r="A109" s="70"/>
      <c r="B109" s="61"/>
      <c r="C109" s="66"/>
      <c r="D109" s="58"/>
      <c r="E109" s="49"/>
      <c r="F109" s="58"/>
      <c r="G109" s="26" t="s">
        <v>160</v>
      </c>
      <c r="H109">
        <v>0.44119999999999998</v>
      </c>
      <c r="I109" s="26">
        <v>0</v>
      </c>
      <c r="J109" s="26">
        <v>1</v>
      </c>
      <c r="K109" s="26">
        <v>1</v>
      </c>
      <c r="L109" s="68"/>
      <c r="M109" s="63"/>
      <c r="N109" s="70"/>
      <c r="O109" s="63"/>
      <c r="P109" s="63"/>
      <c r="Q109" s="79"/>
      <c r="R109" s="63"/>
      <c r="S109" s="63"/>
    </row>
    <row r="110" spans="1:19">
      <c r="A110" s="70"/>
      <c r="B110" s="61"/>
      <c r="C110" s="66"/>
      <c r="D110" s="58"/>
      <c r="E110" s="49"/>
      <c r="F110" s="58"/>
      <c r="G110" s="26" t="s">
        <v>159</v>
      </c>
      <c r="H110" s="26">
        <v>0.44330000000000003</v>
      </c>
      <c r="I110" s="26">
        <v>0</v>
      </c>
      <c r="J110" s="26">
        <v>1</v>
      </c>
      <c r="K110" s="26">
        <v>1</v>
      </c>
      <c r="L110" s="68"/>
      <c r="M110" s="63"/>
      <c r="N110" s="70"/>
      <c r="O110" s="63"/>
      <c r="P110" s="63"/>
      <c r="Q110" s="79"/>
      <c r="R110" s="63"/>
      <c r="S110" s="63"/>
    </row>
    <row r="111" spans="1:19">
      <c r="A111" s="70"/>
      <c r="B111" s="61"/>
      <c r="C111" s="66"/>
      <c r="D111" s="58"/>
      <c r="E111" s="49"/>
      <c r="F111" s="58"/>
      <c r="G111" s="26" t="s">
        <v>437</v>
      </c>
      <c r="H111" s="26">
        <v>0.44700000000000001</v>
      </c>
      <c r="I111" s="26">
        <v>0</v>
      </c>
      <c r="J111" s="26">
        <v>1</v>
      </c>
      <c r="K111" s="26">
        <v>1</v>
      </c>
      <c r="L111" s="68"/>
      <c r="M111" s="63"/>
      <c r="N111" s="70"/>
      <c r="O111" s="63"/>
      <c r="P111" s="63"/>
      <c r="Q111" s="79"/>
      <c r="R111" s="63"/>
      <c r="S111" s="63"/>
    </row>
    <row r="112" spans="1:19">
      <c r="A112" s="71"/>
      <c r="B112" s="62"/>
      <c r="C112" s="67"/>
      <c r="D112" s="59"/>
      <c r="E112" s="50"/>
      <c r="F112" s="59"/>
      <c r="G112" s="26" t="s">
        <v>215</v>
      </c>
      <c r="H112" s="26">
        <v>0.44829999999999998</v>
      </c>
      <c r="I112" s="26">
        <v>0</v>
      </c>
      <c r="J112" s="26">
        <v>1</v>
      </c>
      <c r="K112" s="26">
        <v>1</v>
      </c>
      <c r="L112" s="68"/>
      <c r="M112" s="63"/>
      <c r="N112" s="71"/>
      <c r="O112" s="63"/>
      <c r="P112" s="63"/>
      <c r="Q112" s="79"/>
      <c r="R112" s="63"/>
      <c r="S112" s="63"/>
    </row>
    <row r="113" spans="1:19">
      <c r="A113" s="72">
        <v>23</v>
      </c>
      <c r="B113" s="60" t="s">
        <v>379</v>
      </c>
      <c r="C113" s="75" t="s">
        <v>32</v>
      </c>
      <c r="D113" s="60" t="s">
        <v>54</v>
      </c>
      <c r="E113" s="51"/>
      <c r="F113" s="60" t="s">
        <v>438</v>
      </c>
      <c r="G113" s="25" t="s">
        <v>439</v>
      </c>
      <c r="H113" s="25">
        <v>0.25009999999999999</v>
      </c>
      <c r="I113" s="25">
        <v>1</v>
      </c>
      <c r="J113" s="25">
        <v>1</v>
      </c>
      <c r="K113" s="25">
        <v>1</v>
      </c>
      <c r="L113" s="78">
        <v>1</v>
      </c>
      <c r="M113" s="64">
        <v>3</v>
      </c>
      <c r="N113" s="72">
        <v>3</v>
      </c>
      <c r="O113" s="64">
        <v>3</v>
      </c>
      <c r="P113" s="64">
        <v>2</v>
      </c>
      <c r="Q113" s="64">
        <v>13.784000000000001</v>
      </c>
      <c r="R113" s="64">
        <v>1.3620000000000001</v>
      </c>
      <c r="S113" s="64">
        <v>1.85</v>
      </c>
    </row>
    <row r="114" spans="1:19">
      <c r="A114" s="73"/>
      <c r="B114" s="61"/>
      <c r="C114" s="76"/>
      <c r="D114" s="61"/>
      <c r="E114" s="52"/>
      <c r="F114" s="61"/>
      <c r="G114" s="25" t="s">
        <v>440</v>
      </c>
      <c r="H114" s="25">
        <v>0.2858</v>
      </c>
      <c r="I114" s="25">
        <v>1</v>
      </c>
      <c r="J114" s="25">
        <v>1</v>
      </c>
      <c r="K114" s="25">
        <v>1</v>
      </c>
      <c r="L114" s="78"/>
      <c r="M114" s="64"/>
      <c r="N114" s="73"/>
      <c r="O114" s="64"/>
      <c r="P114" s="64"/>
      <c r="Q114" s="64"/>
      <c r="R114" s="64"/>
      <c r="S114" s="64"/>
    </row>
    <row r="115" spans="1:19">
      <c r="A115" s="73"/>
      <c r="B115" s="61"/>
      <c r="C115" s="76"/>
      <c r="D115" s="61"/>
      <c r="E115" s="52"/>
      <c r="F115" s="61"/>
      <c r="G115" s="25" t="s">
        <v>441</v>
      </c>
      <c r="H115" s="25">
        <v>0.30459999999999998</v>
      </c>
      <c r="I115" s="25">
        <v>0</v>
      </c>
      <c r="J115" s="25">
        <v>1</v>
      </c>
      <c r="K115" s="25">
        <v>1</v>
      </c>
      <c r="L115" s="78"/>
      <c r="M115" s="64"/>
      <c r="N115" s="73"/>
      <c r="O115" s="64"/>
      <c r="P115" s="64"/>
      <c r="Q115" s="64"/>
      <c r="R115" s="64"/>
      <c r="S115" s="64"/>
    </row>
    <row r="116" spans="1:19">
      <c r="A116" s="73"/>
      <c r="B116" s="61"/>
      <c r="C116" s="76"/>
      <c r="D116" s="61"/>
      <c r="E116" s="52"/>
      <c r="F116" s="61"/>
      <c r="G116" s="25" t="s">
        <v>442</v>
      </c>
      <c r="H116" s="25">
        <v>0.30769999999999997</v>
      </c>
      <c r="I116" s="25">
        <v>0</v>
      </c>
      <c r="J116" s="25">
        <v>1</v>
      </c>
      <c r="K116" s="25">
        <v>1</v>
      </c>
      <c r="L116" s="78"/>
      <c r="M116" s="64"/>
      <c r="N116" s="73"/>
      <c r="O116" s="64"/>
      <c r="P116" s="64"/>
      <c r="Q116" s="64"/>
      <c r="R116" s="64"/>
      <c r="S116" s="64"/>
    </row>
    <row r="117" spans="1:19">
      <c r="A117" s="74"/>
      <c r="B117" s="62"/>
      <c r="C117" s="77"/>
      <c r="D117" s="62"/>
      <c r="E117" s="53"/>
      <c r="F117" s="62"/>
      <c r="G117" s="25" t="s">
        <v>286</v>
      </c>
      <c r="H117" s="25">
        <v>0.31190000000000001</v>
      </c>
      <c r="I117" s="25">
        <v>0</v>
      </c>
      <c r="J117" s="25">
        <v>1</v>
      </c>
      <c r="K117" s="25">
        <v>1</v>
      </c>
      <c r="L117" s="78"/>
      <c r="M117" s="64"/>
      <c r="N117" s="74"/>
      <c r="O117" s="64"/>
      <c r="P117" s="64"/>
      <c r="Q117" s="64"/>
      <c r="R117" s="64"/>
      <c r="S117" s="64"/>
    </row>
    <row r="118" spans="1:19">
      <c r="A118" s="69">
        <v>24</v>
      </c>
      <c r="B118" s="60" t="s">
        <v>379</v>
      </c>
      <c r="C118" s="65" t="s">
        <v>32</v>
      </c>
      <c r="D118" s="57" t="s">
        <v>55</v>
      </c>
      <c r="E118" s="48"/>
      <c r="F118" s="57" t="s">
        <v>443</v>
      </c>
      <c r="G118" s="26" t="s">
        <v>174</v>
      </c>
      <c r="H118" s="26">
        <v>0.45750000000000002</v>
      </c>
      <c r="I118" s="26">
        <v>0</v>
      </c>
      <c r="J118" s="26">
        <v>0</v>
      </c>
      <c r="K118" s="26">
        <v>1</v>
      </c>
      <c r="L118" s="68">
        <v>0</v>
      </c>
      <c r="M118" s="63">
        <v>3</v>
      </c>
      <c r="N118" s="69">
        <v>2</v>
      </c>
      <c r="O118" s="63">
        <v>3</v>
      </c>
      <c r="P118" s="63">
        <v>2</v>
      </c>
      <c r="Q118" s="63">
        <v>13.128</v>
      </c>
      <c r="R118" s="63">
        <v>0.59</v>
      </c>
      <c r="S118" s="79">
        <v>0.67100000000000004</v>
      </c>
    </row>
    <row r="119" spans="1:19">
      <c r="A119" s="70"/>
      <c r="B119" s="61"/>
      <c r="C119" s="66"/>
      <c r="D119" s="58"/>
      <c r="E119" s="49"/>
      <c r="F119" s="58"/>
      <c r="G119" s="26" t="s">
        <v>176</v>
      </c>
      <c r="H119" s="26">
        <v>0.4587</v>
      </c>
      <c r="I119" s="26">
        <v>0</v>
      </c>
      <c r="J119" s="26">
        <v>0</v>
      </c>
      <c r="K119" s="26">
        <v>1</v>
      </c>
      <c r="L119" s="68"/>
      <c r="M119" s="63"/>
      <c r="N119" s="70"/>
      <c r="O119" s="63"/>
      <c r="P119" s="63"/>
      <c r="Q119" s="63"/>
      <c r="R119" s="63"/>
      <c r="S119" s="79"/>
    </row>
    <row r="120" spans="1:19">
      <c r="A120" s="70"/>
      <c r="B120" s="61"/>
      <c r="C120" s="66"/>
      <c r="D120" s="58"/>
      <c r="E120" s="49"/>
      <c r="F120" s="58"/>
      <c r="G120" s="26" t="s">
        <v>70</v>
      </c>
      <c r="H120" s="26">
        <v>0.4602</v>
      </c>
      <c r="I120" s="26">
        <v>0</v>
      </c>
      <c r="J120" s="26">
        <v>0</v>
      </c>
      <c r="K120" s="26">
        <v>1</v>
      </c>
      <c r="L120" s="68"/>
      <c r="M120" s="63"/>
      <c r="N120" s="70"/>
      <c r="O120" s="63"/>
      <c r="P120" s="63"/>
      <c r="Q120" s="63"/>
      <c r="R120" s="63"/>
      <c r="S120" s="79"/>
    </row>
    <row r="121" spans="1:19">
      <c r="A121" s="70"/>
      <c r="B121" s="61"/>
      <c r="C121" s="66"/>
      <c r="D121" s="58"/>
      <c r="E121" s="49"/>
      <c r="F121" s="58"/>
      <c r="G121" s="26" t="s">
        <v>444</v>
      </c>
      <c r="H121" s="26">
        <v>0.46600000000000003</v>
      </c>
      <c r="I121" s="26">
        <v>0</v>
      </c>
      <c r="J121" s="26">
        <v>0</v>
      </c>
      <c r="K121" s="26">
        <v>1</v>
      </c>
      <c r="L121" s="68"/>
      <c r="M121" s="63"/>
      <c r="N121" s="70"/>
      <c r="O121" s="63"/>
      <c r="P121" s="63"/>
      <c r="Q121" s="63"/>
      <c r="R121" s="63"/>
      <c r="S121" s="79"/>
    </row>
    <row r="122" spans="1:19">
      <c r="A122" s="71"/>
      <c r="B122" s="62"/>
      <c r="C122" s="67"/>
      <c r="D122" s="59"/>
      <c r="E122" s="50"/>
      <c r="F122" s="59"/>
      <c r="G122" s="26" t="s">
        <v>445</v>
      </c>
      <c r="H122" s="26">
        <v>0.46820000000000001</v>
      </c>
      <c r="I122" s="26">
        <v>0</v>
      </c>
      <c r="J122" s="26">
        <v>0</v>
      </c>
      <c r="K122" s="26">
        <v>1</v>
      </c>
      <c r="L122" s="68"/>
      <c r="M122" s="63"/>
      <c r="N122" s="71"/>
      <c r="O122" s="63"/>
      <c r="P122" s="63"/>
      <c r="Q122" s="63"/>
      <c r="R122" s="63"/>
      <c r="S122" s="79"/>
    </row>
    <row r="123" spans="1:19">
      <c r="A123" s="72">
        <v>25</v>
      </c>
      <c r="B123" s="60" t="s">
        <v>379</v>
      </c>
      <c r="C123" s="75" t="s">
        <v>32</v>
      </c>
      <c r="D123" s="60" t="s">
        <v>56</v>
      </c>
      <c r="E123" s="51"/>
      <c r="F123" s="60" t="s">
        <v>446</v>
      </c>
      <c r="G123" s="25" t="s">
        <v>447</v>
      </c>
      <c r="H123" s="25"/>
      <c r="I123" s="25">
        <v>0</v>
      </c>
      <c r="J123" s="25">
        <v>0</v>
      </c>
      <c r="K123" s="25">
        <v>0</v>
      </c>
      <c r="L123" s="78">
        <v>0</v>
      </c>
      <c r="M123" s="64">
        <v>2</v>
      </c>
      <c r="N123" s="72">
        <v>0</v>
      </c>
      <c r="O123" s="64">
        <v>2</v>
      </c>
      <c r="P123" s="64">
        <v>1</v>
      </c>
      <c r="Q123" s="64">
        <v>4.82</v>
      </c>
      <c r="R123" s="64">
        <v>0</v>
      </c>
      <c r="S123" s="64">
        <v>0</v>
      </c>
    </row>
    <row r="124" spans="1:19">
      <c r="A124" s="73"/>
      <c r="B124" s="61"/>
      <c r="C124" s="76"/>
      <c r="D124" s="61"/>
      <c r="E124" s="52"/>
      <c r="F124" s="61"/>
      <c r="G124" s="25" t="s">
        <v>447</v>
      </c>
      <c r="H124" s="25"/>
      <c r="I124" s="25">
        <v>0</v>
      </c>
      <c r="J124" s="25">
        <v>0</v>
      </c>
      <c r="K124" s="25">
        <v>0</v>
      </c>
      <c r="L124" s="78"/>
      <c r="M124" s="64"/>
      <c r="N124" s="73"/>
      <c r="O124" s="64"/>
      <c r="P124" s="64"/>
      <c r="Q124" s="64"/>
      <c r="R124" s="64"/>
      <c r="S124" s="64"/>
    </row>
    <row r="125" spans="1:19">
      <c r="A125" s="73"/>
      <c r="B125" s="61"/>
      <c r="C125" s="76"/>
      <c r="D125" s="61"/>
      <c r="E125" s="52"/>
      <c r="F125" s="61"/>
      <c r="G125" s="25" t="s">
        <v>447</v>
      </c>
      <c r="H125" s="25"/>
      <c r="I125" s="25">
        <v>0</v>
      </c>
      <c r="J125" s="25">
        <v>0</v>
      </c>
      <c r="K125" s="25">
        <v>0</v>
      </c>
      <c r="L125" s="78"/>
      <c r="M125" s="64"/>
      <c r="N125" s="73"/>
      <c r="O125" s="64"/>
      <c r="P125" s="64"/>
      <c r="Q125" s="64"/>
      <c r="R125" s="64"/>
      <c r="S125" s="64"/>
    </row>
    <row r="126" spans="1:19">
      <c r="A126" s="73"/>
      <c r="B126" s="61"/>
      <c r="C126" s="76"/>
      <c r="D126" s="61"/>
      <c r="E126" s="52"/>
      <c r="F126" s="61"/>
      <c r="G126" s="25" t="s">
        <v>447</v>
      </c>
      <c r="H126" s="25"/>
      <c r="I126" s="25">
        <v>0</v>
      </c>
      <c r="J126" s="25">
        <v>0</v>
      </c>
      <c r="K126" s="25">
        <v>0</v>
      </c>
      <c r="L126" s="78"/>
      <c r="M126" s="64"/>
      <c r="N126" s="73"/>
      <c r="O126" s="64"/>
      <c r="P126" s="64"/>
      <c r="Q126" s="64"/>
      <c r="R126" s="64"/>
      <c r="S126" s="64"/>
    </row>
    <row r="127" spans="1:19">
      <c r="A127" s="74"/>
      <c r="B127" s="62"/>
      <c r="C127" s="77"/>
      <c r="D127" s="62"/>
      <c r="E127" s="53"/>
      <c r="F127" s="62"/>
      <c r="G127" s="25" t="s">
        <v>447</v>
      </c>
      <c r="H127" s="25"/>
      <c r="I127" s="25">
        <v>0</v>
      </c>
      <c r="J127" s="25">
        <v>0</v>
      </c>
      <c r="K127" s="25">
        <v>0</v>
      </c>
      <c r="L127" s="78"/>
      <c r="M127" s="64"/>
      <c r="N127" s="74"/>
      <c r="O127" s="64"/>
      <c r="P127" s="64"/>
      <c r="Q127" s="64"/>
      <c r="R127" s="64"/>
      <c r="S127" s="64"/>
    </row>
    <row r="128" spans="1:19">
      <c r="A128" s="69">
        <v>26</v>
      </c>
      <c r="B128" s="60" t="s">
        <v>379</v>
      </c>
      <c r="C128" s="65" t="s">
        <v>32</v>
      </c>
      <c r="D128" s="57" t="s">
        <v>57</v>
      </c>
      <c r="E128" s="48"/>
      <c r="F128" s="57" t="s">
        <v>448</v>
      </c>
      <c r="G128" s="26" t="s">
        <v>176</v>
      </c>
      <c r="H128" s="26">
        <v>0.43140000000000001</v>
      </c>
      <c r="I128" s="26">
        <v>0</v>
      </c>
      <c r="J128" s="26">
        <v>0</v>
      </c>
      <c r="K128" s="26">
        <v>1</v>
      </c>
      <c r="L128" s="68">
        <v>0</v>
      </c>
      <c r="M128" s="63">
        <v>3</v>
      </c>
      <c r="N128" s="69">
        <v>2</v>
      </c>
      <c r="O128" s="63">
        <v>3</v>
      </c>
      <c r="P128" s="63">
        <v>2</v>
      </c>
      <c r="Q128" s="63">
        <v>14.836</v>
      </c>
      <c r="R128" s="63">
        <v>1.329</v>
      </c>
      <c r="S128" s="63">
        <v>0</v>
      </c>
    </row>
    <row r="129" spans="1:19">
      <c r="A129" s="70"/>
      <c r="B129" s="61"/>
      <c r="C129" s="66"/>
      <c r="D129" s="58"/>
      <c r="E129" s="49"/>
      <c r="F129" s="58"/>
      <c r="G129" s="26" t="s">
        <v>237</v>
      </c>
      <c r="H129" s="26">
        <v>0.44169999999999998</v>
      </c>
      <c r="I129" s="26">
        <v>0</v>
      </c>
      <c r="J129" s="26">
        <v>0</v>
      </c>
      <c r="K129" s="26">
        <v>1</v>
      </c>
      <c r="L129" s="68"/>
      <c r="M129" s="63"/>
      <c r="N129" s="70"/>
      <c r="O129" s="63"/>
      <c r="P129" s="63"/>
      <c r="Q129" s="63"/>
      <c r="R129" s="63"/>
      <c r="S129" s="63"/>
    </row>
    <row r="130" spans="1:19">
      <c r="A130" s="70"/>
      <c r="B130" s="61"/>
      <c r="C130" s="66"/>
      <c r="D130" s="58"/>
      <c r="E130" s="49"/>
      <c r="F130" s="58"/>
      <c r="G130" s="26" t="s">
        <v>175</v>
      </c>
      <c r="H130" s="26">
        <v>0.4572</v>
      </c>
      <c r="I130" s="26">
        <v>0</v>
      </c>
      <c r="J130" s="26">
        <v>0</v>
      </c>
      <c r="K130" s="26">
        <v>1</v>
      </c>
      <c r="L130" s="68"/>
      <c r="M130" s="63"/>
      <c r="N130" s="70"/>
      <c r="O130" s="63"/>
      <c r="P130" s="63"/>
      <c r="Q130" s="63"/>
      <c r="R130" s="63"/>
      <c r="S130" s="63"/>
    </row>
    <row r="131" spans="1:19">
      <c r="A131" s="70"/>
      <c r="B131" s="61"/>
      <c r="C131" s="66"/>
      <c r="D131" s="58"/>
      <c r="E131" s="49"/>
      <c r="F131" s="58"/>
      <c r="G131" s="26" t="s">
        <v>449</v>
      </c>
      <c r="H131" s="26">
        <v>0.45910000000000001</v>
      </c>
      <c r="I131" s="26">
        <v>0</v>
      </c>
      <c r="J131" s="26">
        <v>0</v>
      </c>
      <c r="K131" s="26">
        <v>1</v>
      </c>
      <c r="L131" s="68"/>
      <c r="M131" s="63"/>
      <c r="N131" s="70"/>
      <c r="O131" s="63"/>
      <c r="P131" s="63"/>
      <c r="Q131" s="63"/>
      <c r="R131" s="63"/>
      <c r="S131" s="63"/>
    </row>
    <row r="132" spans="1:19">
      <c r="A132" s="71"/>
      <c r="B132" s="62"/>
      <c r="C132" s="67"/>
      <c r="D132" s="59"/>
      <c r="E132" s="50"/>
      <c r="F132" s="59"/>
      <c r="G132" s="26" t="s">
        <v>236</v>
      </c>
      <c r="H132" s="26">
        <v>0.46750000000000003</v>
      </c>
      <c r="I132" s="26">
        <v>0</v>
      </c>
      <c r="J132" s="26">
        <v>0</v>
      </c>
      <c r="K132" s="26">
        <v>1</v>
      </c>
      <c r="L132" s="68"/>
      <c r="M132" s="63"/>
      <c r="N132" s="71"/>
      <c r="O132" s="63"/>
      <c r="P132" s="63"/>
      <c r="Q132" s="63"/>
      <c r="R132" s="63"/>
      <c r="S132" s="63"/>
    </row>
    <row r="133" spans="1:19">
      <c r="A133" s="72">
        <v>27</v>
      </c>
      <c r="B133" s="60" t="s">
        <v>379</v>
      </c>
      <c r="C133" s="75" t="s">
        <v>32</v>
      </c>
      <c r="D133" s="60" t="s">
        <v>58</v>
      </c>
      <c r="E133" s="51"/>
      <c r="F133" s="60" t="s">
        <v>450</v>
      </c>
      <c r="G133" s="25" t="s">
        <v>239</v>
      </c>
      <c r="H133" s="33">
        <v>0.35320000000000001</v>
      </c>
      <c r="I133" s="25">
        <v>0</v>
      </c>
      <c r="J133" s="25">
        <v>1</v>
      </c>
      <c r="K133" s="25">
        <v>1</v>
      </c>
      <c r="L133" s="78">
        <v>0.4</v>
      </c>
      <c r="M133" s="64">
        <v>3</v>
      </c>
      <c r="N133" s="72">
        <v>2</v>
      </c>
      <c r="O133" s="64">
        <v>3</v>
      </c>
      <c r="P133" s="64">
        <v>2</v>
      </c>
      <c r="Q133" s="64">
        <v>12.86</v>
      </c>
      <c r="R133" s="64">
        <v>1.43</v>
      </c>
      <c r="S133" s="64">
        <v>1.53</v>
      </c>
    </row>
    <row r="134" spans="1:19">
      <c r="A134" s="73"/>
      <c r="B134" s="61"/>
      <c r="C134" s="76"/>
      <c r="D134" s="61"/>
      <c r="E134" s="52"/>
      <c r="F134" s="61"/>
      <c r="G134" s="25" t="s">
        <v>217</v>
      </c>
      <c r="H134" s="33">
        <v>0.36930000000000002</v>
      </c>
      <c r="I134" s="25">
        <v>0</v>
      </c>
      <c r="J134" s="25">
        <v>1</v>
      </c>
      <c r="K134" s="25">
        <v>1</v>
      </c>
      <c r="L134" s="78"/>
      <c r="M134" s="64"/>
      <c r="N134" s="73"/>
      <c r="O134" s="64"/>
      <c r="P134" s="64"/>
      <c r="Q134" s="64"/>
      <c r="R134" s="64"/>
      <c r="S134" s="64"/>
    </row>
    <row r="135" spans="1:19">
      <c r="A135" s="73"/>
      <c r="B135" s="61"/>
      <c r="C135" s="76"/>
      <c r="D135" s="61"/>
      <c r="E135" s="52"/>
      <c r="F135" s="61"/>
      <c r="G135" s="25" t="s">
        <v>240</v>
      </c>
      <c r="H135" s="25">
        <v>0.41299999999999998</v>
      </c>
      <c r="I135" s="25">
        <v>0</v>
      </c>
      <c r="J135" s="25">
        <v>0</v>
      </c>
      <c r="K135" s="25">
        <v>1</v>
      </c>
      <c r="L135" s="78"/>
      <c r="M135" s="64"/>
      <c r="N135" s="73"/>
      <c r="O135" s="64"/>
      <c r="P135" s="64"/>
      <c r="Q135" s="64"/>
      <c r="R135" s="64"/>
      <c r="S135" s="64"/>
    </row>
    <row r="136" spans="1:19">
      <c r="A136" s="73"/>
      <c r="B136" s="61"/>
      <c r="C136" s="76"/>
      <c r="D136" s="61"/>
      <c r="E136" s="52"/>
      <c r="F136" s="61"/>
      <c r="G136" s="25" t="s">
        <v>241</v>
      </c>
      <c r="H136" s="25">
        <v>0.42709999999999998</v>
      </c>
      <c r="I136" s="25">
        <v>0</v>
      </c>
      <c r="J136" s="25">
        <v>0</v>
      </c>
      <c r="K136" s="25">
        <v>1</v>
      </c>
      <c r="L136" s="78"/>
      <c r="M136" s="64"/>
      <c r="N136" s="73"/>
      <c r="O136" s="64"/>
      <c r="P136" s="64"/>
      <c r="Q136" s="64"/>
      <c r="R136" s="64"/>
      <c r="S136" s="64"/>
    </row>
    <row r="137" spans="1:19">
      <c r="A137" s="74"/>
      <c r="B137" s="62"/>
      <c r="C137" s="77"/>
      <c r="D137" s="62"/>
      <c r="E137" s="53"/>
      <c r="F137" s="62"/>
      <c r="G137" s="25" t="s">
        <v>219</v>
      </c>
      <c r="H137" s="25">
        <v>0.4456</v>
      </c>
      <c r="I137" s="25">
        <v>0</v>
      </c>
      <c r="J137" s="25">
        <v>0</v>
      </c>
      <c r="K137" s="25">
        <v>1</v>
      </c>
      <c r="L137" s="78"/>
      <c r="M137" s="64"/>
      <c r="N137" s="74"/>
      <c r="O137" s="64"/>
      <c r="P137" s="64"/>
      <c r="Q137" s="64"/>
      <c r="R137" s="64"/>
      <c r="S137" s="64"/>
    </row>
    <row r="138" spans="1:19">
      <c r="A138" s="69">
        <v>28</v>
      </c>
      <c r="B138" s="60" t="s">
        <v>379</v>
      </c>
      <c r="C138" s="65" t="s">
        <v>32</v>
      </c>
      <c r="D138" s="57" t="s">
        <v>59</v>
      </c>
      <c r="E138" s="48"/>
      <c r="F138" s="57" t="s">
        <v>451</v>
      </c>
      <c r="G138" s="26" t="s">
        <v>245</v>
      </c>
      <c r="H138" s="26">
        <v>0.36890000000000001</v>
      </c>
      <c r="I138" s="26">
        <v>0</v>
      </c>
      <c r="J138" s="26">
        <v>1</v>
      </c>
      <c r="K138" s="26">
        <v>1</v>
      </c>
      <c r="L138" s="68">
        <v>0.8</v>
      </c>
      <c r="M138" s="63">
        <v>2</v>
      </c>
      <c r="N138" s="69">
        <v>2</v>
      </c>
      <c r="O138" s="63">
        <v>3</v>
      </c>
      <c r="P138" s="63">
        <v>2</v>
      </c>
      <c r="Q138" s="63">
        <v>10.5</v>
      </c>
      <c r="R138" s="63">
        <v>0.84</v>
      </c>
      <c r="S138" s="63">
        <v>0</v>
      </c>
    </row>
    <row r="139" spans="1:19">
      <c r="A139" s="70"/>
      <c r="B139" s="61"/>
      <c r="C139" s="66"/>
      <c r="D139" s="58"/>
      <c r="E139" s="49"/>
      <c r="F139" s="58"/>
      <c r="G139" s="26" t="s">
        <v>293</v>
      </c>
      <c r="H139" s="26">
        <v>0.37680000000000002</v>
      </c>
      <c r="I139" s="26">
        <v>0</v>
      </c>
      <c r="J139" s="26">
        <v>1</v>
      </c>
      <c r="K139" s="26">
        <v>1</v>
      </c>
      <c r="L139" s="68"/>
      <c r="M139" s="63"/>
      <c r="N139" s="70"/>
      <c r="O139" s="63"/>
      <c r="P139" s="63"/>
      <c r="Q139" s="63"/>
      <c r="R139" s="63"/>
      <c r="S139" s="63"/>
    </row>
    <row r="140" spans="1:19">
      <c r="A140" s="70"/>
      <c r="B140" s="61"/>
      <c r="C140" s="66"/>
      <c r="D140" s="58"/>
      <c r="E140" s="49"/>
      <c r="F140" s="58"/>
      <c r="G140" s="26" t="s">
        <v>452</v>
      </c>
      <c r="H140" s="26">
        <v>0.37730000000000002</v>
      </c>
      <c r="I140" s="26">
        <v>0</v>
      </c>
      <c r="J140" s="26">
        <v>1</v>
      </c>
      <c r="K140" s="26">
        <v>1</v>
      </c>
      <c r="L140" s="68"/>
      <c r="M140" s="63"/>
      <c r="N140" s="70"/>
      <c r="O140" s="63"/>
      <c r="P140" s="63"/>
      <c r="Q140" s="63"/>
      <c r="R140" s="63"/>
      <c r="S140" s="63"/>
    </row>
    <row r="141" spans="1:19">
      <c r="A141" s="70"/>
      <c r="B141" s="61"/>
      <c r="C141" s="66"/>
      <c r="D141" s="58"/>
      <c r="E141" s="49"/>
      <c r="F141" s="58"/>
      <c r="G141" s="26" t="s">
        <v>244</v>
      </c>
      <c r="H141" s="26">
        <v>0.4</v>
      </c>
      <c r="I141" s="26">
        <v>0</v>
      </c>
      <c r="J141" s="26">
        <v>1</v>
      </c>
      <c r="K141" s="26">
        <v>1</v>
      </c>
      <c r="L141" s="68"/>
      <c r="M141" s="63"/>
      <c r="N141" s="70"/>
      <c r="O141" s="63"/>
      <c r="P141" s="63"/>
      <c r="Q141" s="63"/>
      <c r="R141" s="63"/>
      <c r="S141" s="63"/>
    </row>
    <row r="142" spans="1:19">
      <c r="A142" s="71"/>
      <c r="B142" s="62"/>
      <c r="C142" s="67"/>
      <c r="D142" s="59"/>
      <c r="E142" s="50"/>
      <c r="F142" s="59"/>
      <c r="G142" s="26" t="s">
        <v>453</v>
      </c>
      <c r="H142" s="26">
        <v>0.40799999999999997</v>
      </c>
      <c r="I142" s="26">
        <v>0</v>
      </c>
      <c r="J142" s="26">
        <v>0</v>
      </c>
      <c r="K142" s="26">
        <v>1</v>
      </c>
      <c r="L142" s="68"/>
      <c r="M142" s="63"/>
      <c r="N142" s="71"/>
      <c r="O142" s="63"/>
      <c r="P142" s="63"/>
      <c r="Q142" s="63"/>
      <c r="R142" s="63"/>
      <c r="S142" s="63"/>
    </row>
    <row r="143" spans="1:19">
      <c r="A143" s="72">
        <v>29</v>
      </c>
      <c r="B143" s="60" t="s">
        <v>379</v>
      </c>
      <c r="C143" s="75" t="s">
        <v>32</v>
      </c>
      <c r="D143" s="60" t="s">
        <v>60</v>
      </c>
      <c r="E143" s="51"/>
      <c r="F143" s="60" t="s">
        <v>454</v>
      </c>
      <c r="G143" s="25" t="s">
        <v>455</v>
      </c>
      <c r="H143" s="25">
        <v>0.496</v>
      </c>
      <c r="I143" s="25">
        <v>0</v>
      </c>
      <c r="J143" s="25">
        <v>0</v>
      </c>
      <c r="K143" s="25">
        <v>1</v>
      </c>
      <c r="L143" s="78">
        <v>0</v>
      </c>
      <c r="M143" s="64">
        <v>3</v>
      </c>
      <c r="N143" s="72">
        <v>1</v>
      </c>
      <c r="O143" s="64">
        <v>3</v>
      </c>
      <c r="P143" s="64">
        <v>2</v>
      </c>
      <c r="Q143" s="64">
        <v>11.59</v>
      </c>
      <c r="R143" s="64">
        <v>1.29</v>
      </c>
      <c r="S143" s="64">
        <v>1.61</v>
      </c>
    </row>
    <row r="144" spans="1:19">
      <c r="A144" s="73"/>
      <c r="B144" s="61"/>
      <c r="C144" s="76"/>
      <c r="D144" s="61"/>
      <c r="E144" s="52"/>
      <c r="F144" s="61"/>
      <c r="G144" s="25" t="s">
        <v>456</v>
      </c>
      <c r="H144" s="25">
        <v>0.50660000000000005</v>
      </c>
      <c r="I144" s="25">
        <v>0</v>
      </c>
      <c r="J144" s="25">
        <v>0</v>
      </c>
      <c r="K144" s="25">
        <v>0</v>
      </c>
      <c r="L144" s="78"/>
      <c r="M144" s="64"/>
      <c r="N144" s="73"/>
      <c r="O144" s="64"/>
      <c r="P144" s="64"/>
      <c r="Q144" s="64"/>
      <c r="R144" s="64"/>
      <c r="S144" s="64"/>
    </row>
    <row r="145" spans="1:19">
      <c r="A145" s="73"/>
      <c r="B145" s="61"/>
      <c r="C145" s="76"/>
      <c r="D145" s="61"/>
      <c r="E145" s="52"/>
      <c r="F145" s="61"/>
      <c r="G145" s="25" t="s">
        <v>457</v>
      </c>
      <c r="H145" s="25">
        <v>0.51939999999999997</v>
      </c>
      <c r="I145" s="25">
        <v>0</v>
      </c>
      <c r="J145" s="25">
        <v>0</v>
      </c>
      <c r="K145" s="25">
        <v>0</v>
      </c>
      <c r="L145" s="78"/>
      <c r="M145" s="64"/>
      <c r="N145" s="73"/>
      <c r="O145" s="64"/>
      <c r="P145" s="64"/>
      <c r="Q145" s="64"/>
      <c r="R145" s="64"/>
      <c r="S145" s="64"/>
    </row>
    <row r="146" spans="1:19">
      <c r="A146" s="73"/>
      <c r="B146" s="61"/>
      <c r="C146" s="76"/>
      <c r="D146" s="61"/>
      <c r="E146" s="52"/>
      <c r="F146" s="61"/>
      <c r="G146" s="25" t="s">
        <v>458</v>
      </c>
      <c r="H146" s="25">
        <v>0.52310000000000001</v>
      </c>
      <c r="I146" s="25">
        <v>0</v>
      </c>
      <c r="J146" s="25">
        <v>0</v>
      </c>
      <c r="K146" s="25">
        <v>0</v>
      </c>
      <c r="L146" s="78"/>
      <c r="M146" s="64"/>
      <c r="N146" s="73"/>
      <c r="O146" s="64"/>
      <c r="P146" s="64"/>
      <c r="Q146" s="64"/>
      <c r="R146" s="64"/>
      <c r="S146" s="64"/>
    </row>
    <row r="147" spans="1:19">
      <c r="A147" s="74"/>
      <c r="B147" s="62"/>
      <c r="C147" s="77"/>
      <c r="D147" s="62"/>
      <c r="E147" s="53"/>
      <c r="F147" s="62"/>
      <c r="G147" s="25" t="s">
        <v>459</v>
      </c>
      <c r="H147" s="25">
        <v>0.52810000000000001</v>
      </c>
      <c r="I147" s="25">
        <v>0</v>
      </c>
      <c r="J147" s="25">
        <v>0</v>
      </c>
      <c r="K147" s="25">
        <v>0</v>
      </c>
      <c r="L147" s="78"/>
      <c r="M147" s="64"/>
      <c r="N147" s="74"/>
      <c r="O147" s="64"/>
      <c r="P147" s="64"/>
      <c r="Q147" s="64"/>
      <c r="R147" s="64"/>
      <c r="S147" s="64"/>
    </row>
    <row r="148" spans="1:19">
      <c r="A148" s="69">
        <v>30</v>
      </c>
      <c r="B148" s="60" t="s">
        <v>379</v>
      </c>
      <c r="C148" s="65" t="s">
        <v>32</v>
      </c>
      <c r="D148" s="57" t="s">
        <v>61</v>
      </c>
      <c r="E148" s="48"/>
      <c r="F148" s="57" t="s">
        <v>460</v>
      </c>
      <c r="G148" s="26" t="s">
        <v>255</v>
      </c>
      <c r="H148" s="26">
        <v>0.4365</v>
      </c>
      <c r="I148" s="26">
        <v>0</v>
      </c>
      <c r="J148" s="26">
        <v>0</v>
      </c>
      <c r="K148" s="26">
        <v>1</v>
      </c>
      <c r="L148" s="68">
        <v>0</v>
      </c>
      <c r="M148" s="63">
        <v>3</v>
      </c>
      <c r="N148" s="69">
        <v>2</v>
      </c>
      <c r="O148" s="63">
        <v>3</v>
      </c>
      <c r="P148" s="63">
        <v>2</v>
      </c>
      <c r="Q148" s="63">
        <v>11.114000000000001</v>
      </c>
      <c r="R148" s="63">
        <v>0.83599999999999997</v>
      </c>
      <c r="S148" s="63">
        <v>1.61</v>
      </c>
    </row>
    <row r="149" spans="1:19">
      <c r="A149" s="70"/>
      <c r="B149" s="61"/>
      <c r="C149" s="66"/>
      <c r="D149" s="58"/>
      <c r="E149" s="49"/>
      <c r="F149" s="58"/>
      <c r="G149" s="26" t="s">
        <v>256</v>
      </c>
      <c r="H149" s="26">
        <v>0.4511</v>
      </c>
      <c r="I149" s="26">
        <v>0</v>
      </c>
      <c r="J149" s="26">
        <v>0</v>
      </c>
      <c r="K149" s="26">
        <v>1</v>
      </c>
      <c r="L149" s="68"/>
      <c r="M149" s="63"/>
      <c r="N149" s="70"/>
      <c r="O149" s="63"/>
      <c r="P149" s="63"/>
      <c r="Q149" s="63"/>
      <c r="R149" s="63"/>
      <c r="S149" s="63"/>
    </row>
    <row r="150" spans="1:19">
      <c r="A150" s="70"/>
      <c r="B150" s="61"/>
      <c r="C150" s="66"/>
      <c r="D150" s="58"/>
      <c r="E150" s="49"/>
      <c r="F150" s="58"/>
      <c r="G150" s="26" t="s">
        <v>258</v>
      </c>
      <c r="H150" s="26">
        <v>0.48959999999999998</v>
      </c>
      <c r="I150" s="26">
        <v>0</v>
      </c>
      <c r="J150" s="26">
        <v>0</v>
      </c>
      <c r="K150" s="26">
        <v>1</v>
      </c>
      <c r="L150" s="68"/>
      <c r="M150" s="63"/>
      <c r="N150" s="70"/>
      <c r="O150" s="63"/>
      <c r="P150" s="63"/>
      <c r="Q150" s="63"/>
      <c r="R150" s="63"/>
      <c r="S150" s="63"/>
    </row>
    <row r="151" spans="1:19">
      <c r="A151" s="70"/>
      <c r="B151" s="61"/>
      <c r="C151" s="66"/>
      <c r="D151" s="58"/>
      <c r="E151" s="49"/>
      <c r="F151" s="58"/>
      <c r="G151" s="26" t="s">
        <v>461</v>
      </c>
      <c r="H151" s="26">
        <v>0.49540000000000001</v>
      </c>
      <c r="I151" s="26">
        <v>0</v>
      </c>
      <c r="J151" s="26">
        <v>0</v>
      </c>
      <c r="K151" s="26">
        <v>1</v>
      </c>
      <c r="L151" s="68"/>
      <c r="M151" s="63"/>
      <c r="N151" s="70"/>
      <c r="O151" s="63"/>
      <c r="P151" s="63"/>
      <c r="Q151" s="63"/>
      <c r="R151" s="63"/>
      <c r="S151" s="63"/>
    </row>
    <row r="152" spans="1:19">
      <c r="A152" s="71"/>
      <c r="B152" s="62"/>
      <c r="C152" s="67"/>
      <c r="D152" s="59"/>
      <c r="E152" s="50"/>
      <c r="F152" s="59"/>
      <c r="G152" s="26" t="s">
        <v>248</v>
      </c>
      <c r="H152" s="26">
        <v>0.50139999999999996</v>
      </c>
      <c r="I152" s="26">
        <v>0</v>
      </c>
      <c r="J152" s="26">
        <v>0</v>
      </c>
      <c r="K152" s="26">
        <v>1</v>
      </c>
      <c r="L152" s="68"/>
      <c r="M152" s="63"/>
      <c r="N152" s="71"/>
      <c r="O152" s="63"/>
      <c r="P152" s="63"/>
      <c r="Q152" s="63"/>
      <c r="R152" s="63"/>
      <c r="S152" s="63"/>
    </row>
    <row r="153" spans="1:19">
      <c r="A153" s="72">
        <v>31</v>
      </c>
      <c r="B153" s="60" t="s">
        <v>379</v>
      </c>
      <c r="C153" s="75" t="s">
        <v>33</v>
      </c>
      <c r="D153" s="60" t="s">
        <v>260</v>
      </c>
      <c r="E153" s="51"/>
      <c r="F153" s="60" t="s">
        <v>462</v>
      </c>
      <c r="G153" s="25" t="s">
        <v>261</v>
      </c>
      <c r="H153" s="25">
        <v>0.29759999999999998</v>
      </c>
      <c r="I153" s="25">
        <v>1</v>
      </c>
      <c r="J153" s="25">
        <v>1</v>
      </c>
      <c r="K153" s="25">
        <v>1</v>
      </c>
      <c r="L153" s="78">
        <v>1</v>
      </c>
      <c r="M153" s="64">
        <v>3</v>
      </c>
      <c r="N153" s="72">
        <v>3</v>
      </c>
      <c r="O153" s="64">
        <v>3</v>
      </c>
      <c r="P153" s="64">
        <v>2</v>
      </c>
      <c r="Q153" s="64">
        <v>9.4359999999999999</v>
      </c>
      <c r="R153" s="64">
        <v>1.1259999999999999</v>
      </c>
      <c r="S153" s="64">
        <v>0</v>
      </c>
    </row>
    <row r="154" spans="1:19">
      <c r="A154" s="73"/>
      <c r="B154" s="61"/>
      <c r="C154" s="76"/>
      <c r="D154" s="61"/>
      <c r="E154" s="52"/>
      <c r="F154" s="61"/>
      <c r="G154" s="25" t="s">
        <v>94</v>
      </c>
      <c r="H154" s="25">
        <v>0.30890000000000001</v>
      </c>
      <c r="I154" s="25">
        <v>0</v>
      </c>
      <c r="J154" s="25">
        <v>1</v>
      </c>
      <c r="K154" s="25">
        <v>1</v>
      </c>
      <c r="L154" s="78"/>
      <c r="M154" s="64"/>
      <c r="N154" s="73"/>
      <c r="O154" s="64"/>
      <c r="P154" s="64"/>
      <c r="Q154" s="64"/>
      <c r="R154" s="64"/>
      <c r="S154" s="64"/>
    </row>
    <row r="155" spans="1:19">
      <c r="A155" s="73"/>
      <c r="B155" s="61"/>
      <c r="C155" s="76"/>
      <c r="D155" s="61"/>
      <c r="E155" s="52"/>
      <c r="F155" s="61"/>
      <c r="G155" s="25" t="s">
        <v>91</v>
      </c>
      <c r="H155" s="25">
        <v>0.33879999999999999</v>
      </c>
      <c r="I155" s="25">
        <v>0</v>
      </c>
      <c r="J155" s="25">
        <v>1</v>
      </c>
      <c r="K155" s="25">
        <v>1</v>
      </c>
      <c r="L155" s="78"/>
      <c r="M155" s="64"/>
      <c r="N155" s="73"/>
      <c r="O155" s="64"/>
      <c r="P155" s="64"/>
      <c r="Q155" s="64"/>
      <c r="R155" s="64"/>
      <c r="S155" s="64"/>
    </row>
    <row r="156" spans="1:19">
      <c r="A156" s="73"/>
      <c r="B156" s="61"/>
      <c r="C156" s="76"/>
      <c r="D156" s="61"/>
      <c r="E156" s="52"/>
      <c r="F156" s="61"/>
      <c r="G156" s="25" t="s">
        <v>90</v>
      </c>
      <c r="H156" s="25">
        <v>0.35360000000000003</v>
      </c>
      <c r="I156" s="25">
        <v>0</v>
      </c>
      <c r="J156" s="25">
        <v>1</v>
      </c>
      <c r="K156" s="25">
        <v>1</v>
      </c>
      <c r="L156" s="78"/>
      <c r="M156" s="64"/>
      <c r="N156" s="73"/>
      <c r="O156" s="64"/>
      <c r="P156" s="64"/>
      <c r="Q156" s="64"/>
      <c r="R156" s="64"/>
      <c r="S156" s="64"/>
    </row>
    <row r="157" spans="1:19">
      <c r="A157" s="74"/>
      <c r="B157" s="62"/>
      <c r="C157" s="77"/>
      <c r="D157" s="62"/>
      <c r="E157" s="53"/>
      <c r="F157" s="62"/>
      <c r="G157" s="25" t="s">
        <v>93</v>
      </c>
      <c r="H157" s="25">
        <v>0.38469999999999999</v>
      </c>
      <c r="I157" s="25">
        <v>0</v>
      </c>
      <c r="J157" s="25">
        <v>1</v>
      </c>
      <c r="K157" s="25">
        <v>1</v>
      </c>
      <c r="L157" s="78"/>
      <c r="M157" s="64"/>
      <c r="N157" s="74"/>
      <c r="O157" s="64"/>
      <c r="P157" s="64"/>
      <c r="Q157" s="64"/>
      <c r="R157" s="64"/>
      <c r="S157" s="64"/>
    </row>
    <row r="158" spans="1:19" ht="15.6" customHeight="1">
      <c r="A158" s="69">
        <v>32</v>
      </c>
      <c r="B158" s="60" t="s">
        <v>379</v>
      </c>
      <c r="C158" s="65" t="s">
        <v>33</v>
      </c>
      <c r="D158" s="57" t="s">
        <v>263</v>
      </c>
      <c r="E158" s="48"/>
      <c r="F158" s="57" t="s">
        <v>463</v>
      </c>
      <c r="G158" s="26" t="s">
        <v>265</v>
      </c>
      <c r="H158" s="26">
        <v>0.32590000000000002</v>
      </c>
      <c r="I158" s="26">
        <v>0</v>
      </c>
      <c r="J158" s="26">
        <v>1</v>
      </c>
      <c r="K158" s="26">
        <v>1</v>
      </c>
      <c r="L158" s="68">
        <v>1</v>
      </c>
      <c r="M158" s="63">
        <v>3</v>
      </c>
      <c r="N158" s="69">
        <v>3</v>
      </c>
      <c r="O158" s="63">
        <v>3</v>
      </c>
      <c r="P158" s="63">
        <v>2</v>
      </c>
      <c r="Q158" s="63">
        <v>6.0259999999999998</v>
      </c>
      <c r="R158" s="63">
        <v>1.042</v>
      </c>
      <c r="S158" s="63">
        <v>0</v>
      </c>
    </row>
    <row r="159" spans="1:19">
      <c r="A159" s="70"/>
      <c r="B159" s="61"/>
      <c r="C159" s="66"/>
      <c r="D159" s="58"/>
      <c r="E159" s="49"/>
      <c r="F159" s="58"/>
      <c r="G159" s="26" t="s">
        <v>266</v>
      </c>
      <c r="H159" s="26">
        <v>0.33310000000000001</v>
      </c>
      <c r="I159" s="26">
        <v>0</v>
      </c>
      <c r="J159" s="26">
        <v>1</v>
      </c>
      <c r="K159" s="26">
        <v>1</v>
      </c>
      <c r="L159" s="68"/>
      <c r="M159" s="63"/>
      <c r="N159" s="70"/>
      <c r="O159" s="63"/>
      <c r="P159" s="63"/>
      <c r="Q159" s="63"/>
      <c r="R159" s="63"/>
      <c r="S159" s="63"/>
    </row>
    <row r="160" spans="1:19">
      <c r="A160" s="70"/>
      <c r="B160" s="61"/>
      <c r="C160" s="66"/>
      <c r="D160" s="58"/>
      <c r="E160" s="49"/>
      <c r="F160" s="58"/>
      <c r="G160" s="26" t="s">
        <v>267</v>
      </c>
      <c r="H160" s="26">
        <v>0.33610000000000001</v>
      </c>
      <c r="I160" s="26">
        <v>0</v>
      </c>
      <c r="J160" s="26">
        <v>1</v>
      </c>
      <c r="K160" s="26">
        <v>1</v>
      </c>
      <c r="L160" s="68"/>
      <c r="M160" s="63"/>
      <c r="N160" s="70"/>
      <c r="O160" s="63"/>
      <c r="P160" s="63"/>
      <c r="Q160" s="63"/>
      <c r="R160" s="63"/>
      <c r="S160" s="63"/>
    </row>
    <row r="161" spans="1:19">
      <c r="A161" s="70"/>
      <c r="B161" s="61"/>
      <c r="C161" s="66"/>
      <c r="D161" s="58"/>
      <c r="E161" s="49"/>
      <c r="F161" s="58"/>
      <c r="G161" s="26" t="s">
        <v>268</v>
      </c>
      <c r="H161" s="26">
        <v>0.34179999999999999</v>
      </c>
      <c r="I161" s="26">
        <v>0</v>
      </c>
      <c r="J161" s="26">
        <v>1</v>
      </c>
      <c r="K161" s="26">
        <v>1</v>
      </c>
      <c r="L161" s="68"/>
      <c r="M161" s="63"/>
      <c r="N161" s="70"/>
      <c r="O161" s="63"/>
      <c r="P161" s="63"/>
      <c r="Q161" s="63"/>
      <c r="R161" s="63"/>
      <c r="S161" s="63"/>
    </row>
    <row r="162" spans="1:19">
      <c r="A162" s="71"/>
      <c r="B162" s="62"/>
      <c r="C162" s="67"/>
      <c r="D162" s="59"/>
      <c r="E162" s="50"/>
      <c r="F162" s="59"/>
      <c r="G162" s="26" t="s">
        <v>464</v>
      </c>
      <c r="H162" s="26">
        <v>0.34510000000000002</v>
      </c>
      <c r="I162" s="26">
        <v>0</v>
      </c>
      <c r="J162" s="26">
        <v>1</v>
      </c>
      <c r="K162" s="26">
        <v>1</v>
      </c>
      <c r="L162" s="68"/>
      <c r="M162" s="63"/>
      <c r="N162" s="71"/>
      <c r="O162" s="63"/>
      <c r="P162" s="63"/>
      <c r="Q162" s="63"/>
      <c r="R162" s="63"/>
      <c r="S162" s="63"/>
    </row>
    <row r="163" spans="1:19">
      <c r="A163" s="72">
        <v>33</v>
      </c>
      <c r="B163" s="60" t="s">
        <v>379</v>
      </c>
      <c r="C163" s="75" t="s">
        <v>33</v>
      </c>
      <c r="D163" s="60" t="s">
        <v>270</v>
      </c>
      <c r="E163" s="51"/>
      <c r="F163" s="60" t="s">
        <v>465</v>
      </c>
      <c r="G163" s="25" t="s">
        <v>466</v>
      </c>
      <c r="H163" s="25">
        <v>0.38940000000000002</v>
      </c>
      <c r="I163" s="25">
        <v>0</v>
      </c>
      <c r="J163" s="25">
        <v>1</v>
      </c>
      <c r="K163" s="25">
        <v>1</v>
      </c>
      <c r="L163" s="78">
        <v>0.2</v>
      </c>
      <c r="M163" s="64">
        <v>3</v>
      </c>
      <c r="N163" s="72">
        <v>3</v>
      </c>
      <c r="O163" s="64">
        <v>3</v>
      </c>
      <c r="P163" s="64">
        <v>2</v>
      </c>
      <c r="Q163" s="64">
        <v>8.2989999999999995</v>
      </c>
      <c r="R163" s="64">
        <v>0.86899999999999999</v>
      </c>
      <c r="S163" s="64">
        <v>0</v>
      </c>
    </row>
    <row r="164" spans="1:19">
      <c r="A164" s="73"/>
      <c r="B164" s="61"/>
      <c r="C164" s="76"/>
      <c r="D164" s="61"/>
      <c r="E164" s="52"/>
      <c r="F164" s="61"/>
      <c r="G164" s="25" t="s">
        <v>126</v>
      </c>
      <c r="H164" s="25">
        <v>0.4229</v>
      </c>
      <c r="I164" s="25">
        <v>0</v>
      </c>
      <c r="J164" s="25">
        <v>0</v>
      </c>
      <c r="K164" s="25">
        <v>1</v>
      </c>
      <c r="L164" s="78"/>
      <c r="M164" s="64"/>
      <c r="N164" s="73"/>
      <c r="O164" s="64"/>
      <c r="P164" s="64"/>
      <c r="Q164" s="64"/>
      <c r="R164" s="64"/>
      <c r="S164" s="64"/>
    </row>
    <row r="165" spans="1:19">
      <c r="A165" s="73"/>
      <c r="B165" s="61"/>
      <c r="C165" s="76"/>
      <c r="D165" s="61"/>
      <c r="E165" s="52"/>
      <c r="F165" s="61"/>
      <c r="G165" s="25" t="s">
        <v>275</v>
      </c>
      <c r="H165" s="25">
        <v>0.42349999999999999</v>
      </c>
      <c r="I165" s="25">
        <v>0</v>
      </c>
      <c r="J165" s="25">
        <v>0</v>
      </c>
      <c r="K165" s="25">
        <v>1</v>
      </c>
      <c r="L165" s="78"/>
      <c r="M165" s="64"/>
      <c r="N165" s="73"/>
      <c r="O165" s="64"/>
      <c r="P165" s="64"/>
      <c r="Q165" s="64"/>
      <c r="R165" s="64"/>
      <c r="S165" s="64"/>
    </row>
    <row r="166" spans="1:19">
      <c r="A166" s="73"/>
      <c r="B166" s="61"/>
      <c r="C166" s="76"/>
      <c r="D166" s="61"/>
      <c r="E166" s="52"/>
      <c r="F166" s="61"/>
      <c r="G166" s="25" t="s">
        <v>467</v>
      </c>
      <c r="H166" s="25">
        <v>0.43120000000000003</v>
      </c>
      <c r="I166" s="25">
        <v>0</v>
      </c>
      <c r="J166" s="25">
        <v>0</v>
      </c>
      <c r="K166" s="25">
        <v>1</v>
      </c>
      <c r="L166" s="78"/>
      <c r="M166" s="64"/>
      <c r="N166" s="73"/>
      <c r="O166" s="64"/>
      <c r="P166" s="64"/>
      <c r="Q166" s="64"/>
      <c r="R166" s="64"/>
      <c r="S166" s="64"/>
    </row>
    <row r="167" spans="1:19">
      <c r="A167" s="74"/>
      <c r="B167" s="62"/>
      <c r="C167" s="77"/>
      <c r="D167" s="62"/>
      <c r="E167" s="53"/>
      <c r="F167" s="62"/>
      <c r="G167" s="25" t="s">
        <v>468</v>
      </c>
      <c r="H167" s="25">
        <v>0.44019999999999998</v>
      </c>
      <c r="I167" s="25">
        <v>0</v>
      </c>
      <c r="J167" s="25">
        <v>0</v>
      </c>
      <c r="K167" s="25">
        <v>1</v>
      </c>
      <c r="L167" s="78"/>
      <c r="M167" s="64"/>
      <c r="N167" s="74"/>
      <c r="O167" s="64"/>
      <c r="P167" s="64"/>
      <c r="Q167" s="64"/>
      <c r="R167" s="64"/>
      <c r="S167" s="64"/>
    </row>
    <row r="168" spans="1:19">
      <c r="A168" s="69">
        <v>34</v>
      </c>
      <c r="B168" s="60" t="s">
        <v>379</v>
      </c>
      <c r="C168" s="65" t="s">
        <v>33</v>
      </c>
      <c r="D168" s="57" t="s">
        <v>271</v>
      </c>
      <c r="E168" s="48"/>
      <c r="F168" s="57" t="s">
        <v>469</v>
      </c>
      <c r="G168" s="26" t="s">
        <v>447</v>
      </c>
      <c r="H168" s="26"/>
      <c r="I168" s="26">
        <v>0</v>
      </c>
      <c r="J168" s="26">
        <v>0</v>
      </c>
      <c r="K168" s="26">
        <v>0</v>
      </c>
      <c r="L168" s="68">
        <v>0</v>
      </c>
      <c r="M168" s="63">
        <v>2</v>
      </c>
      <c r="N168" s="69">
        <v>0</v>
      </c>
      <c r="O168" s="63">
        <v>2</v>
      </c>
      <c r="P168" s="63">
        <v>2</v>
      </c>
      <c r="Q168" s="63">
        <v>4.8470000000000004</v>
      </c>
      <c r="R168" s="63">
        <v>0</v>
      </c>
      <c r="S168" s="63">
        <v>0</v>
      </c>
    </row>
    <row r="169" spans="1:19">
      <c r="A169" s="70"/>
      <c r="B169" s="61"/>
      <c r="C169" s="66"/>
      <c r="D169" s="58"/>
      <c r="E169" s="49"/>
      <c r="F169" s="58"/>
      <c r="G169" s="26" t="s">
        <v>447</v>
      </c>
      <c r="H169" s="26"/>
      <c r="I169" s="26">
        <v>0</v>
      </c>
      <c r="J169" s="26">
        <v>0</v>
      </c>
      <c r="K169" s="26">
        <v>0</v>
      </c>
      <c r="L169" s="68"/>
      <c r="M169" s="63"/>
      <c r="N169" s="70"/>
      <c r="O169" s="63"/>
      <c r="P169" s="63"/>
      <c r="Q169" s="63"/>
      <c r="R169" s="63"/>
      <c r="S169" s="63"/>
    </row>
    <row r="170" spans="1:19">
      <c r="A170" s="70"/>
      <c r="B170" s="61"/>
      <c r="C170" s="66"/>
      <c r="D170" s="58"/>
      <c r="E170" s="49"/>
      <c r="F170" s="58"/>
      <c r="G170" s="26" t="s">
        <v>447</v>
      </c>
      <c r="H170" s="26"/>
      <c r="I170" s="26">
        <v>0</v>
      </c>
      <c r="J170" s="26">
        <v>0</v>
      </c>
      <c r="K170" s="26">
        <v>0</v>
      </c>
      <c r="L170" s="68"/>
      <c r="M170" s="63"/>
      <c r="N170" s="70"/>
      <c r="O170" s="63"/>
      <c r="P170" s="63"/>
      <c r="Q170" s="63"/>
      <c r="R170" s="63"/>
      <c r="S170" s="63"/>
    </row>
    <row r="171" spans="1:19">
      <c r="A171" s="70"/>
      <c r="B171" s="61"/>
      <c r="C171" s="66"/>
      <c r="D171" s="58"/>
      <c r="E171" s="49"/>
      <c r="F171" s="58"/>
      <c r="G171" s="26" t="s">
        <v>447</v>
      </c>
      <c r="H171" s="26"/>
      <c r="I171" s="26">
        <v>0</v>
      </c>
      <c r="J171" s="26">
        <v>0</v>
      </c>
      <c r="K171" s="26">
        <v>0</v>
      </c>
      <c r="L171" s="68"/>
      <c r="M171" s="63"/>
      <c r="N171" s="70"/>
      <c r="O171" s="63"/>
      <c r="P171" s="63"/>
      <c r="Q171" s="63"/>
      <c r="R171" s="63"/>
      <c r="S171" s="63"/>
    </row>
    <row r="172" spans="1:19">
      <c r="A172" s="71"/>
      <c r="B172" s="62"/>
      <c r="C172" s="67"/>
      <c r="D172" s="59"/>
      <c r="E172" s="50"/>
      <c r="F172" s="59"/>
      <c r="G172" s="26" t="s">
        <v>447</v>
      </c>
      <c r="H172" s="26"/>
      <c r="I172" s="26">
        <v>0</v>
      </c>
      <c r="J172" s="26">
        <v>0</v>
      </c>
      <c r="K172" s="26">
        <v>0</v>
      </c>
      <c r="L172" s="68"/>
      <c r="M172" s="63"/>
      <c r="N172" s="71"/>
      <c r="O172" s="63"/>
      <c r="P172" s="63"/>
      <c r="Q172" s="63"/>
      <c r="R172" s="63"/>
      <c r="S172" s="63"/>
    </row>
    <row r="173" spans="1:19">
      <c r="A173" s="72">
        <v>35</v>
      </c>
      <c r="B173" s="60" t="s">
        <v>379</v>
      </c>
      <c r="C173" s="75" t="s">
        <v>33</v>
      </c>
      <c r="D173" s="60" t="s">
        <v>470</v>
      </c>
      <c r="E173" s="51"/>
      <c r="F173" s="60" t="s">
        <v>471</v>
      </c>
      <c r="G173" s="25" t="s">
        <v>277</v>
      </c>
      <c r="H173" s="25">
        <v>0.39629999999999999</v>
      </c>
      <c r="I173" s="25">
        <v>0</v>
      </c>
      <c r="J173" s="25">
        <v>1</v>
      </c>
      <c r="K173" s="25">
        <v>1</v>
      </c>
      <c r="L173" s="78">
        <v>0.2</v>
      </c>
      <c r="M173" s="64">
        <v>3</v>
      </c>
      <c r="N173" s="72">
        <v>3</v>
      </c>
      <c r="O173" s="64">
        <v>3</v>
      </c>
      <c r="P173" s="64">
        <v>2</v>
      </c>
      <c r="Q173" s="64">
        <v>9.2799999999999994</v>
      </c>
      <c r="R173" s="64">
        <v>1.5</v>
      </c>
      <c r="S173" s="64">
        <v>0</v>
      </c>
    </row>
    <row r="174" spans="1:19">
      <c r="A174" s="73"/>
      <c r="B174" s="61"/>
      <c r="C174" s="76"/>
      <c r="D174" s="61"/>
      <c r="E174" s="52"/>
      <c r="F174" s="61"/>
      <c r="G174" s="25" t="s">
        <v>280</v>
      </c>
      <c r="H174" s="25">
        <v>0.40739999999999998</v>
      </c>
      <c r="I174" s="25">
        <v>0</v>
      </c>
      <c r="J174" s="25">
        <v>0</v>
      </c>
      <c r="K174" s="25">
        <v>1</v>
      </c>
      <c r="L174" s="78"/>
      <c r="M174" s="64"/>
      <c r="N174" s="73"/>
      <c r="O174" s="64"/>
      <c r="P174" s="64"/>
      <c r="Q174" s="64"/>
      <c r="R174" s="64"/>
      <c r="S174" s="64"/>
    </row>
    <row r="175" spans="1:19">
      <c r="A175" s="73"/>
      <c r="B175" s="61"/>
      <c r="C175" s="76"/>
      <c r="D175" s="61"/>
      <c r="E175" s="52"/>
      <c r="F175" s="61"/>
      <c r="G175" s="25" t="s">
        <v>472</v>
      </c>
      <c r="H175" s="25">
        <v>0.40889999999999999</v>
      </c>
      <c r="I175" s="25">
        <v>0</v>
      </c>
      <c r="J175" s="25">
        <v>0</v>
      </c>
      <c r="K175" s="25">
        <v>1</v>
      </c>
      <c r="L175" s="78"/>
      <c r="M175" s="64"/>
      <c r="N175" s="73"/>
      <c r="O175" s="64"/>
      <c r="P175" s="64"/>
      <c r="Q175" s="64"/>
      <c r="R175" s="64"/>
      <c r="S175" s="64"/>
    </row>
    <row r="176" spans="1:19">
      <c r="A176" s="73"/>
      <c r="B176" s="61"/>
      <c r="C176" s="76"/>
      <c r="D176" s="61"/>
      <c r="E176" s="52"/>
      <c r="F176" s="61"/>
      <c r="G176" s="25" t="s">
        <v>473</v>
      </c>
      <c r="H176" s="25">
        <v>0.41660000000000003</v>
      </c>
      <c r="I176" s="25">
        <v>0</v>
      </c>
      <c r="J176" s="25">
        <v>0</v>
      </c>
      <c r="K176" s="25">
        <v>1</v>
      </c>
      <c r="L176" s="78"/>
      <c r="M176" s="64"/>
      <c r="N176" s="73"/>
      <c r="O176" s="64"/>
      <c r="P176" s="64"/>
      <c r="Q176" s="64"/>
      <c r="R176" s="64"/>
      <c r="S176" s="64"/>
    </row>
    <row r="177" spans="1:19">
      <c r="A177" s="74"/>
      <c r="B177" s="62"/>
      <c r="C177" s="77"/>
      <c r="D177" s="62"/>
      <c r="E177" s="53"/>
      <c r="F177" s="62"/>
      <c r="G177" s="25" t="s">
        <v>279</v>
      </c>
      <c r="H177" s="25">
        <v>0.41980000000000001</v>
      </c>
      <c r="I177" s="25">
        <v>0</v>
      </c>
      <c r="J177" s="25">
        <v>0</v>
      </c>
      <c r="K177" s="25">
        <v>1</v>
      </c>
      <c r="L177" s="78"/>
      <c r="M177" s="64"/>
      <c r="N177" s="74"/>
      <c r="O177" s="64"/>
      <c r="P177" s="64"/>
      <c r="Q177" s="64"/>
      <c r="R177" s="64"/>
      <c r="S177" s="64"/>
    </row>
    <row r="178" spans="1:19">
      <c r="A178" s="69">
        <v>36</v>
      </c>
      <c r="B178" s="60" t="s">
        <v>379</v>
      </c>
      <c r="C178" s="65" t="s">
        <v>33</v>
      </c>
      <c r="D178" s="57" t="s">
        <v>284</v>
      </c>
      <c r="E178" s="48"/>
      <c r="F178" s="57" t="s">
        <v>474</v>
      </c>
      <c r="G178" s="26" t="s">
        <v>287</v>
      </c>
      <c r="H178" s="26">
        <v>0.35170000000000001</v>
      </c>
      <c r="I178" s="26">
        <v>0</v>
      </c>
      <c r="J178" s="26">
        <v>1</v>
      </c>
      <c r="K178" s="26">
        <v>1</v>
      </c>
      <c r="L178" s="68">
        <v>1</v>
      </c>
      <c r="M178" s="63">
        <v>3</v>
      </c>
      <c r="N178" s="69">
        <v>3</v>
      </c>
      <c r="O178" s="63">
        <v>3</v>
      </c>
      <c r="P178" s="63">
        <v>2</v>
      </c>
      <c r="Q178" s="63">
        <v>11.05</v>
      </c>
      <c r="R178" s="63">
        <v>0.98199999999999998</v>
      </c>
      <c r="S178" s="63">
        <v>1.6379999999999999</v>
      </c>
    </row>
    <row r="179" spans="1:19">
      <c r="A179" s="70"/>
      <c r="B179" s="61"/>
      <c r="C179" s="66"/>
      <c r="D179" s="58"/>
      <c r="E179" s="49"/>
      <c r="F179" s="58"/>
      <c r="G179" s="26" t="s">
        <v>475</v>
      </c>
      <c r="H179" s="26">
        <v>0.36020000000000002</v>
      </c>
      <c r="I179" s="26">
        <v>0</v>
      </c>
      <c r="J179" s="26">
        <v>1</v>
      </c>
      <c r="K179" s="26">
        <v>1</v>
      </c>
      <c r="L179" s="68"/>
      <c r="M179" s="63"/>
      <c r="N179" s="70"/>
      <c r="O179" s="63"/>
      <c r="P179" s="63"/>
      <c r="Q179" s="63"/>
      <c r="R179" s="63"/>
      <c r="S179" s="63"/>
    </row>
    <row r="180" spans="1:19">
      <c r="A180" s="70"/>
      <c r="B180" s="61"/>
      <c r="C180" s="66"/>
      <c r="D180" s="58"/>
      <c r="E180" s="49"/>
      <c r="F180" s="58"/>
      <c r="G180" s="26" t="s">
        <v>439</v>
      </c>
      <c r="H180" s="26">
        <v>0.37480000000000002</v>
      </c>
      <c r="I180" s="26">
        <v>0</v>
      </c>
      <c r="J180" s="26">
        <v>1</v>
      </c>
      <c r="K180" s="26">
        <v>1</v>
      </c>
      <c r="L180" s="68"/>
      <c r="M180" s="63"/>
      <c r="N180" s="70"/>
      <c r="O180" s="63"/>
      <c r="P180" s="63"/>
      <c r="Q180" s="63"/>
      <c r="R180" s="63"/>
      <c r="S180" s="63"/>
    </row>
    <row r="181" spans="1:19">
      <c r="A181" s="70"/>
      <c r="B181" s="61"/>
      <c r="C181" s="66"/>
      <c r="D181" s="58"/>
      <c r="E181" s="49"/>
      <c r="F181" s="58"/>
      <c r="G181" t="s">
        <v>476</v>
      </c>
      <c r="H181" s="26">
        <v>0.37780000000000002</v>
      </c>
      <c r="I181" s="26">
        <v>0</v>
      </c>
      <c r="J181" s="26">
        <v>1</v>
      </c>
      <c r="K181" s="26">
        <v>1</v>
      </c>
      <c r="L181" s="68"/>
      <c r="M181" s="63"/>
      <c r="N181" s="70"/>
      <c r="O181" s="63"/>
      <c r="P181" s="63"/>
      <c r="Q181" s="63"/>
      <c r="R181" s="63"/>
      <c r="S181" s="63"/>
    </row>
    <row r="182" spans="1:19">
      <c r="A182" s="71"/>
      <c r="B182" s="62"/>
      <c r="C182" s="67"/>
      <c r="D182" s="59"/>
      <c r="E182" s="50"/>
      <c r="F182" s="59"/>
      <c r="G182" s="26" t="s">
        <v>83</v>
      </c>
      <c r="H182" s="26">
        <v>0.3785</v>
      </c>
      <c r="I182" s="26">
        <v>0</v>
      </c>
      <c r="J182" s="26">
        <v>1</v>
      </c>
      <c r="K182" s="26">
        <v>1</v>
      </c>
      <c r="L182" s="68"/>
      <c r="M182" s="63"/>
      <c r="N182" s="71"/>
      <c r="O182" s="63"/>
      <c r="P182" s="63"/>
      <c r="Q182" s="63"/>
      <c r="R182" s="63"/>
      <c r="S182" s="63"/>
    </row>
    <row r="183" spans="1:19">
      <c r="A183" s="72">
        <v>37</v>
      </c>
      <c r="B183" s="60" t="s">
        <v>379</v>
      </c>
      <c r="C183" s="75" t="s">
        <v>33</v>
      </c>
      <c r="D183" s="60" t="s">
        <v>291</v>
      </c>
      <c r="E183" s="51"/>
      <c r="F183" s="60" t="s">
        <v>477</v>
      </c>
      <c r="G183" s="25" t="s">
        <v>293</v>
      </c>
      <c r="H183" s="25">
        <v>0.34589999999999999</v>
      </c>
      <c r="I183" s="25">
        <v>0</v>
      </c>
      <c r="J183" s="25">
        <v>1</v>
      </c>
      <c r="K183" s="25">
        <v>1</v>
      </c>
      <c r="L183" s="78">
        <v>1</v>
      </c>
      <c r="M183" s="64">
        <v>3</v>
      </c>
      <c r="N183" s="72">
        <v>3</v>
      </c>
      <c r="O183" s="64">
        <v>3</v>
      </c>
      <c r="P183" s="64">
        <v>2</v>
      </c>
      <c r="Q183" s="64">
        <v>12.23</v>
      </c>
      <c r="R183" s="64">
        <v>0.78</v>
      </c>
      <c r="S183" s="64">
        <v>1.48</v>
      </c>
    </row>
    <row r="184" spans="1:19">
      <c r="A184" s="73"/>
      <c r="B184" s="61"/>
      <c r="C184" s="76"/>
      <c r="D184" s="61"/>
      <c r="E184" s="52"/>
      <c r="F184" s="61"/>
      <c r="G184" s="25" t="s">
        <v>295</v>
      </c>
      <c r="H184" s="25">
        <v>0.37180000000000002</v>
      </c>
      <c r="I184" s="25">
        <v>0</v>
      </c>
      <c r="J184" s="25">
        <v>1</v>
      </c>
      <c r="K184" s="25">
        <v>1</v>
      </c>
      <c r="L184" s="78"/>
      <c r="M184" s="64"/>
      <c r="N184" s="73"/>
      <c r="O184" s="64"/>
      <c r="P184" s="64"/>
      <c r="Q184" s="64"/>
      <c r="R184" s="64"/>
      <c r="S184" s="64"/>
    </row>
    <row r="185" spans="1:19">
      <c r="A185" s="73"/>
      <c r="B185" s="61"/>
      <c r="C185" s="76"/>
      <c r="D185" s="61"/>
      <c r="E185" s="52"/>
      <c r="F185" s="61"/>
      <c r="G185" s="25" t="s">
        <v>478</v>
      </c>
      <c r="H185" s="25">
        <v>0.39400000000000002</v>
      </c>
      <c r="I185" s="25">
        <v>0</v>
      </c>
      <c r="J185" s="25">
        <v>1</v>
      </c>
      <c r="K185" s="25">
        <v>1</v>
      </c>
      <c r="L185" s="78"/>
      <c r="M185" s="64"/>
      <c r="N185" s="73"/>
      <c r="O185" s="64"/>
      <c r="P185" s="64"/>
      <c r="Q185" s="64"/>
      <c r="R185" s="64"/>
      <c r="S185" s="64"/>
    </row>
    <row r="186" spans="1:19">
      <c r="A186" s="73"/>
      <c r="B186" s="61"/>
      <c r="C186" s="76"/>
      <c r="D186" s="61"/>
      <c r="E186" s="52"/>
      <c r="F186" s="61"/>
      <c r="G186" s="25" t="s">
        <v>453</v>
      </c>
      <c r="H186" s="25">
        <v>0.39450000000000002</v>
      </c>
      <c r="I186" s="25">
        <v>0</v>
      </c>
      <c r="J186" s="25">
        <v>1</v>
      </c>
      <c r="K186" s="25">
        <v>1</v>
      </c>
      <c r="L186" s="78"/>
      <c r="M186" s="64"/>
      <c r="N186" s="73"/>
      <c r="O186" s="64"/>
      <c r="P186" s="64"/>
      <c r="Q186" s="64"/>
      <c r="R186" s="64"/>
      <c r="S186" s="64"/>
    </row>
    <row r="187" spans="1:19">
      <c r="A187" s="74"/>
      <c r="B187" s="62"/>
      <c r="C187" s="77"/>
      <c r="D187" s="62"/>
      <c r="E187" s="53"/>
      <c r="F187" s="62"/>
      <c r="G187" s="25" t="s">
        <v>479</v>
      </c>
      <c r="H187" s="25">
        <v>0.39450000000000002</v>
      </c>
      <c r="I187" s="25">
        <v>0</v>
      </c>
      <c r="J187" s="25">
        <v>1</v>
      </c>
      <c r="K187" s="25">
        <v>1</v>
      </c>
      <c r="L187" s="78"/>
      <c r="M187" s="64"/>
      <c r="N187" s="74"/>
      <c r="O187" s="64"/>
      <c r="P187" s="64"/>
      <c r="Q187" s="64"/>
      <c r="R187" s="64"/>
      <c r="S187" s="64"/>
    </row>
    <row r="188" spans="1:19">
      <c r="A188" s="69">
        <v>38</v>
      </c>
      <c r="B188" s="60" t="s">
        <v>379</v>
      </c>
      <c r="C188" s="65" t="s">
        <v>33</v>
      </c>
      <c r="D188" s="57" t="s">
        <v>296</v>
      </c>
      <c r="E188" s="48"/>
      <c r="F188" s="57" t="s">
        <v>480</v>
      </c>
      <c r="G188" s="26" t="s">
        <v>481</v>
      </c>
      <c r="H188" s="26">
        <v>0.4209</v>
      </c>
      <c r="I188" s="26">
        <v>0</v>
      </c>
      <c r="J188" s="26">
        <v>0</v>
      </c>
      <c r="K188" s="26">
        <v>1</v>
      </c>
      <c r="L188" s="68">
        <v>0</v>
      </c>
      <c r="M188" s="63">
        <v>3</v>
      </c>
      <c r="N188" s="69">
        <v>3</v>
      </c>
      <c r="O188" s="63">
        <v>3</v>
      </c>
      <c r="P188" s="63">
        <v>2</v>
      </c>
      <c r="Q188" s="63">
        <v>12.67</v>
      </c>
      <c r="R188" s="63">
        <v>0.91200000000000003</v>
      </c>
      <c r="S188" s="63">
        <v>2.2770000000000001</v>
      </c>
    </row>
    <row r="189" spans="1:19">
      <c r="A189" s="70"/>
      <c r="B189" s="61"/>
      <c r="C189" s="66"/>
      <c r="D189" s="58"/>
      <c r="E189" s="49"/>
      <c r="F189" s="58"/>
      <c r="G189" s="26" t="s">
        <v>87</v>
      </c>
      <c r="H189" s="26">
        <v>0.42770000000000002</v>
      </c>
      <c r="I189" s="26">
        <v>0</v>
      </c>
      <c r="J189" s="26">
        <v>0</v>
      </c>
      <c r="K189" s="26">
        <v>1</v>
      </c>
      <c r="L189" s="68"/>
      <c r="M189" s="63"/>
      <c r="N189" s="70"/>
      <c r="O189" s="63"/>
      <c r="P189" s="63"/>
      <c r="Q189" s="63"/>
      <c r="R189" s="63"/>
      <c r="S189" s="63"/>
    </row>
    <row r="190" spans="1:19">
      <c r="A190" s="70"/>
      <c r="B190" s="61"/>
      <c r="C190" s="66"/>
      <c r="D190" s="58"/>
      <c r="E190" s="49"/>
      <c r="F190" s="58"/>
      <c r="G190" s="26" t="s">
        <v>88</v>
      </c>
      <c r="H190" s="26">
        <v>0.42980000000000002</v>
      </c>
      <c r="I190" s="26">
        <v>0</v>
      </c>
      <c r="J190" s="26">
        <v>0</v>
      </c>
      <c r="K190" s="26">
        <v>1</v>
      </c>
      <c r="L190" s="68"/>
      <c r="M190" s="63"/>
      <c r="N190" s="70"/>
      <c r="O190" s="63"/>
      <c r="P190" s="63"/>
      <c r="Q190" s="63"/>
      <c r="R190" s="63"/>
      <c r="S190" s="63"/>
    </row>
    <row r="191" spans="1:19">
      <c r="A191" s="70"/>
      <c r="B191" s="61"/>
      <c r="C191" s="66"/>
      <c r="D191" s="58"/>
      <c r="E191" s="49"/>
      <c r="F191" s="58"/>
      <c r="G191" s="26" t="s">
        <v>482</v>
      </c>
      <c r="H191" s="26">
        <v>0.44009999999999999</v>
      </c>
      <c r="I191" s="26">
        <v>0</v>
      </c>
      <c r="J191" s="26">
        <v>0</v>
      </c>
      <c r="K191" s="26">
        <v>1</v>
      </c>
      <c r="L191" s="68"/>
      <c r="M191" s="63"/>
      <c r="N191" s="70"/>
      <c r="O191" s="63"/>
      <c r="P191" s="63"/>
      <c r="Q191" s="63"/>
      <c r="R191" s="63"/>
      <c r="S191" s="63"/>
    </row>
    <row r="192" spans="1:19">
      <c r="A192" s="71"/>
      <c r="B192" s="62"/>
      <c r="C192" s="67"/>
      <c r="D192" s="59"/>
      <c r="E192" s="50"/>
      <c r="F192" s="59"/>
      <c r="G192" s="26" t="s">
        <v>483</v>
      </c>
      <c r="H192" s="26">
        <v>0.45019999999999999</v>
      </c>
      <c r="I192" s="26">
        <v>0</v>
      </c>
      <c r="J192" s="26">
        <v>0</v>
      </c>
      <c r="K192" s="26">
        <v>1</v>
      </c>
      <c r="L192" s="68"/>
      <c r="M192" s="63"/>
      <c r="N192" s="71"/>
      <c r="O192" s="63"/>
      <c r="P192" s="63"/>
      <c r="Q192" s="63"/>
      <c r="R192" s="63"/>
      <c r="S192" s="63"/>
    </row>
    <row r="193" spans="1:19">
      <c r="A193" s="72">
        <v>39</v>
      </c>
      <c r="B193" s="60" t="s">
        <v>379</v>
      </c>
      <c r="C193" s="75" t="s">
        <v>33</v>
      </c>
      <c r="D193" s="60" t="s">
        <v>302</v>
      </c>
      <c r="E193" s="51"/>
      <c r="F193" s="60" t="s">
        <v>484</v>
      </c>
      <c r="G193" s="25" t="s">
        <v>237</v>
      </c>
      <c r="H193" s="25">
        <v>0.40129999999999999</v>
      </c>
      <c r="I193" s="25">
        <v>0</v>
      </c>
      <c r="J193" s="25">
        <v>0</v>
      </c>
      <c r="K193" s="25">
        <v>1</v>
      </c>
      <c r="L193" s="78">
        <v>0</v>
      </c>
      <c r="M193" s="64">
        <v>3</v>
      </c>
      <c r="N193" s="72">
        <v>3</v>
      </c>
      <c r="O193" s="64">
        <v>3</v>
      </c>
      <c r="P193" s="64">
        <v>2</v>
      </c>
      <c r="Q193" s="64">
        <v>8.4350000000000005</v>
      </c>
      <c r="R193" s="64">
        <v>0.75700000000000001</v>
      </c>
      <c r="S193" s="64">
        <v>0</v>
      </c>
    </row>
    <row r="194" spans="1:19">
      <c r="A194" s="73"/>
      <c r="B194" s="61"/>
      <c r="C194" s="76"/>
      <c r="D194" s="61"/>
      <c r="E194" s="52"/>
      <c r="F194" s="61"/>
      <c r="G194" s="25" t="s">
        <v>305</v>
      </c>
      <c r="H194" s="25">
        <v>0.40229999999999999</v>
      </c>
      <c r="I194" s="25">
        <v>0</v>
      </c>
      <c r="J194" s="25">
        <v>0</v>
      </c>
      <c r="K194" s="25">
        <v>1</v>
      </c>
      <c r="L194" s="78"/>
      <c r="M194" s="64"/>
      <c r="N194" s="73"/>
      <c r="O194" s="64"/>
      <c r="P194" s="64"/>
      <c r="Q194" s="64"/>
      <c r="R194" s="64"/>
      <c r="S194" s="64"/>
    </row>
    <row r="195" spans="1:19">
      <c r="A195" s="73"/>
      <c r="B195" s="61"/>
      <c r="C195" s="76"/>
      <c r="D195" s="61"/>
      <c r="E195" s="52"/>
      <c r="F195" s="61"/>
      <c r="G195" s="25" t="s">
        <v>304</v>
      </c>
      <c r="H195" s="25">
        <v>0.40379999999999999</v>
      </c>
      <c r="I195" s="25">
        <v>0</v>
      </c>
      <c r="J195" s="25">
        <v>0</v>
      </c>
      <c r="K195" s="25">
        <v>1</v>
      </c>
      <c r="L195" s="78"/>
      <c r="M195" s="64"/>
      <c r="N195" s="73"/>
      <c r="O195" s="64"/>
      <c r="P195" s="64"/>
      <c r="Q195" s="64"/>
      <c r="R195" s="64"/>
      <c r="S195" s="64"/>
    </row>
    <row r="196" spans="1:19">
      <c r="A196" s="73"/>
      <c r="B196" s="61"/>
      <c r="C196" s="76"/>
      <c r="D196" s="61"/>
      <c r="E196" s="52"/>
      <c r="F196" s="61"/>
      <c r="G196" s="25" t="s">
        <v>306</v>
      </c>
      <c r="H196" s="25">
        <v>0.42799999999999999</v>
      </c>
      <c r="I196" s="25">
        <v>0</v>
      </c>
      <c r="J196" s="25">
        <v>0</v>
      </c>
      <c r="K196" s="25">
        <v>1</v>
      </c>
      <c r="L196" s="78"/>
      <c r="M196" s="64"/>
      <c r="N196" s="73"/>
      <c r="O196" s="64"/>
      <c r="P196" s="64"/>
      <c r="Q196" s="64"/>
      <c r="R196" s="64"/>
      <c r="S196" s="64"/>
    </row>
    <row r="197" spans="1:19">
      <c r="A197" s="74"/>
      <c r="B197" s="62"/>
      <c r="C197" s="77"/>
      <c r="D197" s="62"/>
      <c r="E197" s="53"/>
      <c r="F197" s="62"/>
      <c r="G197" s="25" t="s">
        <v>485</v>
      </c>
      <c r="H197" s="25">
        <v>0.43290000000000001</v>
      </c>
      <c r="I197" s="25">
        <v>0</v>
      </c>
      <c r="J197" s="25">
        <v>0</v>
      </c>
      <c r="K197" s="25">
        <v>1</v>
      </c>
      <c r="L197" s="78"/>
      <c r="M197" s="64"/>
      <c r="N197" s="74"/>
      <c r="O197" s="64"/>
      <c r="P197" s="64"/>
      <c r="Q197" s="64"/>
      <c r="R197" s="64"/>
      <c r="S197" s="64"/>
    </row>
    <row r="198" spans="1:19">
      <c r="A198" s="69">
        <v>40</v>
      </c>
      <c r="B198" s="60" t="s">
        <v>379</v>
      </c>
      <c r="C198" s="65" t="s">
        <v>33</v>
      </c>
      <c r="D198" s="57" t="s">
        <v>307</v>
      </c>
      <c r="E198" s="48"/>
      <c r="F198" s="57" t="s">
        <v>486</v>
      </c>
      <c r="G198" s="26" t="s">
        <v>487</v>
      </c>
      <c r="H198" s="26">
        <v>0.57289999999999996</v>
      </c>
      <c r="I198" s="26">
        <v>0</v>
      </c>
      <c r="J198" s="26">
        <v>0</v>
      </c>
      <c r="K198" s="26">
        <v>0</v>
      </c>
      <c r="L198" s="68">
        <v>0</v>
      </c>
      <c r="M198" s="63">
        <v>3</v>
      </c>
      <c r="N198" s="69">
        <v>2</v>
      </c>
      <c r="O198" s="63">
        <v>3</v>
      </c>
      <c r="P198" s="63">
        <v>2</v>
      </c>
      <c r="Q198" s="63">
        <v>13.962</v>
      </c>
      <c r="R198" s="63">
        <v>0.69099999999999995</v>
      </c>
      <c r="S198" s="63">
        <v>2.4300000000000002</v>
      </c>
    </row>
    <row r="199" spans="1:19">
      <c r="A199" s="70"/>
      <c r="B199" s="61"/>
      <c r="C199" s="66"/>
      <c r="D199" s="58"/>
      <c r="E199" s="49"/>
      <c r="F199" s="58"/>
      <c r="G199" s="26" t="s">
        <v>488</v>
      </c>
      <c r="H199" s="26">
        <v>0.57440000000000002</v>
      </c>
      <c r="I199" s="26">
        <v>0</v>
      </c>
      <c r="J199" s="26">
        <v>0</v>
      </c>
      <c r="K199" s="26">
        <v>0</v>
      </c>
      <c r="L199" s="68"/>
      <c r="M199" s="63"/>
      <c r="N199" s="70"/>
      <c r="O199" s="63"/>
      <c r="P199" s="63"/>
      <c r="Q199" s="63"/>
      <c r="R199" s="63"/>
      <c r="S199" s="63"/>
    </row>
    <row r="200" spans="1:19">
      <c r="A200" s="70"/>
      <c r="B200" s="61"/>
      <c r="C200" s="66"/>
      <c r="D200" s="58"/>
      <c r="E200" s="49"/>
      <c r="F200" s="58"/>
      <c r="G200" s="26" t="s">
        <v>391</v>
      </c>
      <c r="H200" s="26">
        <v>0.57979999999999998</v>
      </c>
      <c r="I200" s="26">
        <v>0</v>
      </c>
      <c r="J200" s="26">
        <v>0</v>
      </c>
      <c r="K200" s="26">
        <v>0</v>
      </c>
      <c r="L200" s="68"/>
      <c r="M200" s="63"/>
      <c r="N200" s="70"/>
      <c r="O200" s="63"/>
      <c r="P200" s="63"/>
      <c r="Q200" s="63"/>
      <c r="R200" s="63"/>
      <c r="S200" s="63"/>
    </row>
    <row r="201" spans="1:19">
      <c r="A201" s="70"/>
      <c r="B201" s="61"/>
      <c r="C201" s="66"/>
      <c r="D201" s="58"/>
      <c r="E201" s="49"/>
      <c r="F201" s="58"/>
      <c r="G201" s="26" t="s">
        <v>489</v>
      </c>
      <c r="H201" s="26">
        <v>0.58169999999999999</v>
      </c>
      <c r="I201" s="26">
        <v>0</v>
      </c>
      <c r="J201" s="26">
        <v>0</v>
      </c>
      <c r="K201" s="26">
        <v>0</v>
      </c>
      <c r="L201" s="68"/>
      <c r="M201" s="63"/>
      <c r="N201" s="70"/>
      <c r="O201" s="63"/>
      <c r="P201" s="63"/>
      <c r="Q201" s="63"/>
      <c r="R201" s="63"/>
      <c r="S201" s="63"/>
    </row>
    <row r="202" spans="1:19">
      <c r="A202" s="71"/>
      <c r="B202" s="62"/>
      <c r="C202" s="67"/>
      <c r="D202" s="59"/>
      <c r="E202" s="50"/>
      <c r="F202" s="59"/>
      <c r="G202" s="26" t="s">
        <v>490</v>
      </c>
      <c r="H202" s="26">
        <v>0.58589999999999998</v>
      </c>
      <c r="I202" s="26">
        <v>0</v>
      </c>
      <c r="J202" s="26">
        <v>0</v>
      </c>
      <c r="K202" s="26">
        <v>0</v>
      </c>
      <c r="L202" s="68"/>
      <c r="M202" s="63"/>
      <c r="N202" s="71"/>
      <c r="O202" s="63"/>
      <c r="P202" s="63"/>
      <c r="Q202" s="63"/>
      <c r="R202" s="63"/>
      <c r="S202" s="63"/>
    </row>
    <row r="203" spans="1:19">
      <c r="A203" s="72">
        <v>41</v>
      </c>
      <c r="B203" s="60" t="s">
        <v>379</v>
      </c>
      <c r="C203" s="75" t="s">
        <v>34</v>
      </c>
      <c r="D203" s="60" t="s">
        <v>313</v>
      </c>
      <c r="E203" s="51"/>
      <c r="F203" s="60" t="s">
        <v>491</v>
      </c>
      <c r="G203" s="25" t="s">
        <v>65</v>
      </c>
      <c r="H203" s="25">
        <v>0.1598</v>
      </c>
      <c r="I203" s="25">
        <v>1</v>
      </c>
      <c r="J203" s="25">
        <v>1</v>
      </c>
      <c r="K203" s="25">
        <v>1</v>
      </c>
      <c r="L203" s="78">
        <v>1</v>
      </c>
      <c r="M203" s="64">
        <v>3</v>
      </c>
      <c r="N203" s="72">
        <v>3</v>
      </c>
      <c r="O203" s="64">
        <v>3</v>
      </c>
      <c r="P203" s="64">
        <v>2</v>
      </c>
      <c r="Q203" s="64">
        <v>9.673</v>
      </c>
      <c r="R203" s="64">
        <v>1.02</v>
      </c>
      <c r="S203" s="64">
        <v>1.83</v>
      </c>
    </row>
    <row r="204" spans="1:19">
      <c r="A204" s="73"/>
      <c r="B204" s="61"/>
      <c r="C204" s="76"/>
      <c r="D204" s="61"/>
      <c r="E204" s="52"/>
      <c r="F204" s="61"/>
      <c r="G204" s="25" t="s">
        <v>66</v>
      </c>
      <c r="H204" s="25">
        <v>0.1628</v>
      </c>
      <c r="I204" s="25">
        <v>1</v>
      </c>
      <c r="J204" s="25">
        <v>1</v>
      </c>
      <c r="K204" s="25">
        <v>1</v>
      </c>
      <c r="L204" s="78"/>
      <c r="M204" s="64"/>
      <c r="N204" s="73"/>
      <c r="O204" s="64"/>
      <c r="P204" s="64"/>
      <c r="Q204" s="64"/>
      <c r="R204" s="64"/>
      <c r="S204" s="64"/>
    </row>
    <row r="205" spans="1:19">
      <c r="A205" s="73"/>
      <c r="B205" s="61"/>
      <c r="C205" s="76"/>
      <c r="D205" s="61"/>
      <c r="E205" s="52"/>
      <c r="F205" s="61"/>
      <c r="G205" s="25" t="s">
        <v>68</v>
      </c>
      <c r="H205" s="25">
        <v>0.20580000000000001</v>
      </c>
      <c r="I205" s="25">
        <v>1</v>
      </c>
      <c r="J205" s="25">
        <v>1</v>
      </c>
      <c r="K205" s="25">
        <v>1</v>
      </c>
      <c r="L205" s="78"/>
      <c r="M205" s="64"/>
      <c r="N205" s="73"/>
      <c r="O205" s="64"/>
      <c r="P205" s="64"/>
      <c r="Q205" s="64"/>
      <c r="R205" s="64"/>
      <c r="S205" s="64"/>
    </row>
    <row r="206" spans="1:19">
      <c r="A206" s="73"/>
      <c r="B206" s="61"/>
      <c r="C206" s="76"/>
      <c r="D206" s="61"/>
      <c r="E206" s="52"/>
      <c r="F206" s="61"/>
      <c r="G206" s="25" t="s">
        <v>67</v>
      </c>
      <c r="H206" s="25">
        <v>0.21229999999999999</v>
      </c>
      <c r="I206" s="25">
        <v>1</v>
      </c>
      <c r="J206" s="25">
        <v>1</v>
      </c>
      <c r="K206" s="25">
        <v>1</v>
      </c>
      <c r="L206" s="78"/>
      <c r="M206" s="64"/>
      <c r="N206" s="73"/>
      <c r="O206" s="64"/>
      <c r="P206" s="64"/>
      <c r="Q206" s="64"/>
      <c r="R206" s="64"/>
      <c r="S206" s="64"/>
    </row>
    <row r="207" spans="1:19">
      <c r="A207" s="74"/>
      <c r="B207" s="62"/>
      <c r="C207" s="77"/>
      <c r="D207" s="62"/>
      <c r="E207" s="53"/>
      <c r="F207" s="62"/>
      <c r="G207" s="25" t="s">
        <v>148</v>
      </c>
      <c r="H207" s="25">
        <v>0.22370000000000001</v>
      </c>
      <c r="I207" s="25">
        <v>1</v>
      </c>
      <c r="J207" s="25">
        <v>1</v>
      </c>
      <c r="K207" s="25">
        <v>1</v>
      </c>
      <c r="L207" s="78"/>
      <c r="M207" s="64"/>
      <c r="N207" s="74"/>
      <c r="O207" s="64"/>
      <c r="P207" s="64"/>
      <c r="Q207" s="64"/>
      <c r="R207" s="64"/>
      <c r="S207" s="64"/>
    </row>
    <row r="208" spans="1:19" ht="15.6" customHeight="1">
      <c r="A208" s="69">
        <v>42</v>
      </c>
      <c r="B208" s="60" t="s">
        <v>379</v>
      </c>
      <c r="C208" s="65" t="s">
        <v>34</v>
      </c>
      <c r="D208" s="57" t="s">
        <v>316</v>
      </c>
      <c r="E208" s="48"/>
      <c r="F208" s="57" t="s">
        <v>492</v>
      </c>
      <c r="G208" s="26" t="s">
        <v>318</v>
      </c>
      <c r="H208" s="26">
        <v>0.29699999999999999</v>
      </c>
      <c r="I208" s="26">
        <v>1</v>
      </c>
      <c r="J208" s="26">
        <v>1</v>
      </c>
      <c r="K208" s="26">
        <v>1</v>
      </c>
      <c r="L208" s="68">
        <v>1</v>
      </c>
      <c r="M208" s="63">
        <v>3</v>
      </c>
      <c r="N208" s="69">
        <v>3</v>
      </c>
      <c r="O208" s="63">
        <v>3</v>
      </c>
      <c r="P208" s="63">
        <v>2</v>
      </c>
      <c r="Q208" s="63">
        <v>11.316000000000001</v>
      </c>
      <c r="R208" s="63">
        <v>0.98499999999999999</v>
      </c>
      <c r="S208" s="63">
        <v>1.48</v>
      </c>
    </row>
    <row r="209" spans="1:19">
      <c r="A209" s="70"/>
      <c r="B209" s="61"/>
      <c r="C209" s="66"/>
      <c r="D209" s="58"/>
      <c r="E209" s="49"/>
      <c r="F209" s="58"/>
      <c r="G209" s="26" t="s">
        <v>493</v>
      </c>
      <c r="H209" s="26">
        <v>0.29930000000000001</v>
      </c>
      <c r="I209" s="26">
        <v>1</v>
      </c>
      <c r="J209" s="26">
        <v>1</v>
      </c>
      <c r="K209" s="26">
        <v>1</v>
      </c>
      <c r="L209" s="68"/>
      <c r="M209" s="63"/>
      <c r="N209" s="70"/>
      <c r="O209" s="63"/>
      <c r="P209" s="63"/>
      <c r="Q209" s="63"/>
      <c r="R209" s="63"/>
      <c r="S209" s="63"/>
    </row>
    <row r="210" spans="1:19">
      <c r="A210" s="70"/>
      <c r="B210" s="61"/>
      <c r="C210" s="66"/>
      <c r="D210" s="58"/>
      <c r="E210" s="49"/>
      <c r="F210" s="58"/>
      <c r="G210" s="26" t="s">
        <v>320</v>
      </c>
      <c r="H210" s="26">
        <v>0.31740000000000002</v>
      </c>
      <c r="I210" s="26">
        <v>0</v>
      </c>
      <c r="J210" s="26">
        <v>1</v>
      </c>
      <c r="K210" s="26">
        <v>1</v>
      </c>
      <c r="L210" s="68"/>
      <c r="M210" s="63"/>
      <c r="N210" s="70"/>
      <c r="O210" s="63"/>
      <c r="P210" s="63"/>
      <c r="Q210" s="63"/>
      <c r="R210" s="63"/>
      <c r="S210" s="63"/>
    </row>
    <row r="211" spans="1:19">
      <c r="A211" s="70"/>
      <c r="B211" s="61"/>
      <c r="C211" s="66"/>
      <c r="D211" s="58"/>
      <c r="E211" s="49"/>
      <c r="F211" s="58"/>
      <c r="G211" s="26" t="s">
        <v>321</v>
      </c>
      <c r="H211" s="26">
        <v>0.31809999999999999</v>
      </c>
      <c r="I211" s="26">
        <v>0</v>
      </c>
      <c r="J211" s="26">
        <v>1</v>
      </c>
      <c r="K211" s="26">
        <v>1</v>
      </c>
      <c r="L211" s="68"/>
      <c r="M211" s="63"/>
      <c r="N211" s="70"/>
      <c r="O211" s="63"/>
      <c r="P211" s="63"/>
      <c r="Q211" s="63"/>
      <c r="R211" s="63"/>
      <c r="S211" s="63"/>
    </row>
    <row r="212" spans="1:19">
      <c r="A212" s="71"/>
      <c r="B212" s="62"/>
      <c r="C212" s="67"/>
      <c r="D212" s="59"/>
      <c r="E212" s="50"/>
      <c r="F212" s="59"/>
      <c r="G212" s="26" t="s">
        <v>494</v>
      </c>
      <c r="H212" s="26">
        <v>0.3231</v>
      </c>
      <c r="I212" s="26">
        <v>0</v>
      </c>
      <c r="J212" s="26">
        <v>1</v>
      </c>
      <c r="K212" s="26">
        <v>1</v>
      </c>
      <c r="L212" s="68"/>
      <c r="M212" s="63"/>
      <c r="N212" s="71"/>
      <c r="O212" s="63"/>
      <c r="P212" s="63"/>
      <c r="Q212" s="63"/>
      <c r="R212" s="63"/>
      <c r="S212" s="63"/>
    </row>
    <row r="213" spans="1:19">
      <c r="A213" s="72">
        <v>43</v>
      </c>
      <c r="B213" s="60" t="s">
        <v>379</v>
      </c>
      <c r="C213" s="75" t="s">
        <v>34</v>
      </c>
      <c r="D213" s="60" t="s">
        <v>323</v>
      </c>
      <c r="E213" s="51"/>
      <c r="F213" s="60" t="s">
        <v>495</v>
      </c>
      <c r="G213" s="25" t="s">
        <v>326</v>
      </c>
      <c r="H213" s="25">
        <v>0.29899999999999999</v>
      </c>
      <c r="I213" s="25">
        <v>1</v>
      </c>
      <c r="J213" s="25">
        <v>1</v>
      </c>
      <c r="K213" s="25">
        <v>1</v>
      </c>
      <c r="L213" s="78">
        <v>1</v>
      </c>
      <c r="M213" s="64">
        <v>3</v>
      </c>
      <c r="N213" s="72">
        <v>3</v>
      </c>
      <c r="O213" s="64">
        <v>3</v>
      </c>
      <c r="P213" s="64">
        <v>2</v>
      </c>
      <c r="Q213" s="64">
        <v>10.566000000000001</v>
      </c>
      <c r="R213" s="64">
        <v>0.88900000000000001</v>
      </c>
      <c r="S213" s="64">
        <v>1.67</v>
      </c>
    </row>
    <row r="214" spans="1:19">
      <c r="A214" s="73"/>
      <c r="B214" s="61"/>
      <c r="C214" s="76"/>
      <c r="D214" s="61"/>
      <c r="E214" s="52"/>
      <c r="F214" s="61"/>
      <c r="G214" s="25" t="s">
        <v>496</v>
      </c>
      <c r="H214" s="25">
        <v>0.35120000000000001</v>
      </c>
      <c r="I214" s="25">
        <v>0</v>
      </c>
      <c r="J214" s="25">
        <v>1</v>
      </c>
      <c r="K214" s="25">
        <v>1</v>
      </c>
      <c r="L214" s="78"/>
      <c r="M214" s="64"/>
      <c r="N214" s="73"/>
      <c r="O214" s="64"/>
      <c r="P214" s="64"/>
      <c r="Q214" s="64"/>
      <c r="R214" s="64"/>
      <c r="S214" s="64"/>
    </row>
    <row r="215" spans="1:19">
      <c r="A215" s="73"/>
      <c r="B215" s="61"/>
      <c r="C215" s="76"/>
      <c r="D215" s="61"/>
      <c r="E215" s="52"/>
      <c r="F215" s="61"/>
      <c r="G215" s="25" t="s">
        <v>497</v>
      </c>
      <c r="H215" s="25">
        <v>0.35670000000000002</v>
      </c>
      <c r="I215" s="25">
        <v>0</v>
      </c>
      <c r="J215" s="25">
        <v>1</v>
      </c>
      <c r="K215" s="25">
        <v>1</v>
      </c>
      <c r="L215" s="78"/>
      <c r="M215" s="64"/>
      <c r="N215" s="73"/>
      <c r="O215" s="64"/>
      <c r="P215" s="64"/>
      <c r="Q215" s="64"/>
      <c r="R215" s="64"/>
      <c r="S215" s="64"/>
    </row>
    <row r="216" spans="1:19">
      <c r="A216" s="73"/>
      <c r="B216" s="61"/>
      <c r="C216" s="76"/>
      <c r="D216" s="61"/>
      <c r="E216" s="52"/>
      <c r="F216" s="61"/>
      <c r="G216" s="25" t="s">
        <v>498</v>
      </c>
      <c r="H216" s="25">
        <v>0.35749999999999998</v>
      </c>
      <c r="I216" s="25">
        <v>0</v>
      </c>
      <c r="J216" s="25">
        <v>1</v>
      </c>
      <c r="K216" s="25">
        <v>1</v>
      </c>
      <c r="L216" s="78"/>
      <c r="M216" s="64"/>
      <c r="N216" s="73"/>
      <c r="O216" s="64"/>
      <c r="P216" s="64"/>
      <c r="Q216" s="64"/>
      <c r="R216" s="64"/>
      <c r="S216" s="64"/>
    </row>
    <row r="217" spans="1:19">
      <c r="A217" s="74"/>
      <c r="B217" s="62"/>
      <c r="C217" s="77"/>
      <c r="D217" s="62"/>
      <c r="E217" s="53"/>
      <c r="F217" s="62"/>
      <c r="G217" s="25" t="s">
        <v>499</v>
      </c>
      <c r="H217" s="25">
        <v>0.3619</v>
      </c>
      <c r="I217" s="25">
        <v>0</v>
      </c>
      <c r="J217" s="25">
        <v>1</v>
      </c>
      <c r="K217" s="25">
        <v>1</v>
      </c>
      <c r="L217" s="78"/>
      <c r="M217" s="64"/>
      <c r="N217" s="74"/>
      <c r="O217" s="64"/>
      <c r="P217" s="64"/>
      <c r="Q217" s="64"/>
      <c r="R217" s="64"/>
      <c r="S217" s="64"/>
    </row>
    <row r="218" spans="1:19">
      <c r="A218" s="69">
        <v>44</v>
      </c>
      <c r="B218" s="60" t="s">
        <v>379</v>
      </c>
      <c r="C218" s="65" t="s">
        <v>34</v>
      </c>
      <c r="D218" s="57" t="s">
        <v>330</v>
      </c>
      <c r="E218" s="48"/>
      <c r="F218" s="57" t="s">
        <v>500</v>
      </c>
      <c r="G218" s="26" t="s">
        <v>333</v>
      </c>
      <c r="H218" s="26">
        <v>0.31090000000000001</v>
      </c>
      <c r="I218" s="26">
        <v>0</v>
      </c>
      <c r="J218" s="26">
        <v>1</v>
      </c>
      <c r="K218" s="26">
        <v>1</v>
      </c>
      <c r="L218" s="68">
        <v>1</v>
      </c>
      <c r="M218" s="63">
        <v>3</v>
      </c>
      <c r="N218" s="69">
        <v>1</v>
      </c>
      <c r="O218" s="63">
        <v>3</v>
      </c>
      <c r="P218" s="63">
        <v>2</v>
      </c>
      <c r="Q218" s="63">
        <v>5.0670000000000002</v>
      </c>
      <c r="R218" s="63">
        <v>1.167</v>
      </c>
      <c r="S218" s="63">
        <v>0</v>
      </c>
    </row>
    <row r="219" spans="1:19">
      <c r="A219" s="70"/>
      <c r="B219" s="61"/>
      <c r="C219" s="66"/>
      <c r="D219" s="58"/>
      <c r="E219" s="49"/>
      <c r="F219" s="58"/>
      <c r="G219" s="26" t="s">
        <v>332</v>
      </c>
      <c r="H219" s="26">
        <v>0.31309999999999999</v>
      </c>
      <c r="I219" s="26">
        <v>0</v>
      </c>
      <c r="J219" s="26">
        <v>1</v>
      </c>
      <c r="K219" s="26">
        <v>1</v>
      </c>
      <c r="L219" s="68"/>
      <c r="M219" s="63"/>
      <c r="N219" s="70"/>
      <c r="O219" s="63"/>
      <c r="P219" s="63"/>
      <c r="Q219" s="63"/>
      <c r="R219" s="63"/>
      <c r="S219" s="63"/>
    </row>
    <row r="220" spans="1:19">
      <c r="A220" s="70"/>
      <c r="B220" s="61"/>
      <c r="C220" s="66"/>
      <c r="D220" s="58"/>
      <c r="E220" s="49"/>
      <c r="F220" s="58"/>
      <c r="G220" s="26" t="s">
        <v>334</v>
      </c>
      <c r="H220" s="26">
        <v>0.32569999999999999</v>
      </c>
      <c r="I220" s="26">
        <v>0</v>
      </c>
      <c r="J220" s="26">
        <v>1</v>
      </c>
      <c r="K220" s="26">
        <v>1</v>
      </c>
      <c r="L220" s="68"/>
      <c r="M220" s="63"/>
      <c r="N220" s="70"/>
      <c r="O220" s="63"/>
      <c r="P220" s="63"/>
      <c r="Q220" s="63"/>
      <c r="R220" s="63"/>
      <c r="S220" s="63"/>
    </row>
    <row r="221" spans="1:19">
      <c r="A221" s="70"/>
      <c r="B221" s="61"/>
      <c r="C221" s="66"/>
      <c r="D221" s="58"/>
      <c r="E221" s="49"/>
      <c r="F221" s="58"/>
      <c r="G221" s="26" t="s">
        <v>501</v>
      </c>
      <c r="H221" s="26">
        <v>0.32790000000000002</v>
      </c>
      <c r="I221" s="26">
        <v>0</v>
      </c>
      <c r="J221" s="26">
        <v>1</v>
      </c>
      <c r="K221" s="26">
        <v>1</v>
      </c>
      <c r="L221" s="68"/>
      <c r="M221" s="63"/>
      <c r="N221" s="70"/>
      <c r="O221" s="63"/>
      <c r="P221" s="63"/>
      <c r="Q221" s="63"/>
      <c r="R221" s="63"/>
      <c r="S221" s="63"/>
    </row>
    <row r="222" spans="1:19">
      <c r="A222" s="71"/>
      <c r="B222" s="62"/>
      <c r="C222" s="67"/>
      <c r="D222" s="59"/>
      <c r="E222" s="50"/>
      <c r="F222" s="59"/>
      <c r="G222" s="26" t="s">
        <v>335</v>
      </c>
      <c r="H222" s="26">
        <v>0.34589999999999999</v>
      </c>
      <c r="I222" s="26">
        <v>0</v>
      </c>
      <c r="J222" s="26">
        <v>1</v>
      </c>
      <c r="K222" s="26">
        <v>1</v>
      </c>
      <c r="L222" s="68"/>
      <c r="M222" s="63"/>
      <c r="N222" s="71"/>
      <c r="O222" s="63"/>
      <c r="P222" s="63"/>
      <c r="Q222" s="63"/>
      <c r="R222" s="63"/>
      <c r="S222" s="63"/>
    </row>
    <row r="223" spans="1:19">
      <c r="A223" s="72">
        <v>45</v>
      </c>
      <c r="B223" s="60" t="s">
        <v>379</v>
      </c>
      <c r="C223" s="75" t="s">
        <v>34</v>
      </c>
      <c r="D223" s="60" t="s">
        <v>337</v>
      </c>
      <c r="E223" s="51"/>
      <c r="F223" s="60" t="s">
        <v>502</v>
      </c>
      <c r="G223" s="25" t="s">
        <v>339</v>
      </c>
      <c r="H223" s="25">
        <v>0.3019</v>
      </c>
      <c r="I223" s="25">
        <v>1</v>
      </c>
      <c r="J223" s="25">
        <v>1</v>
      </c>
      <c r="K223" s="25">
        <v>1</v>
      </c>
      <c r="L223" s="78">
        <v>1</v>
      </c>
      <c r="M223" s="64">
        <v>3</v>
      </c>
      <c r="N223" s="72">
        <v>1</v>
      </c>
      <c r="O223" s="64">
        <v>3</v>
      </c>
      <c r="P223" s="64">
        <v>2</v>
      </c>
      <c r="Q223" s="64">
        <v>16.507000000000001</v>
      </c>
      <c r="R223" s="64">
        <v>1.31</v>
      </c>
      <c r="S223" s="64">
        <v>1.821</v>
      </c>
    </row>
    <row r="224" spans="1:19">
      <c r="A224" s="73"/>
      <c r="B224" s="61"/>
      <c r="C224" s="76"/>
      <c r="D224" s="61"/>
      <c r="E224" s="52"/>
      <c r="F224" s="61"/>
      <c r="G224" s="25" t="s">
        <v>503</v>
      </c>
      <c r="H224" s="25">
        <v>0.31159999999999999</v>
      </c>
      <c r="I224" s="25">
        <v>0</v>
      </c>
      <c r="J224" s="25">
        <v>1</v>
      </c>
      <c r="K224" s="25">
        <v>1</v>
      </c>
      <c r="L224" s="78"/>
      <c r="M224" s="64"/>
      <c r="N224" s="73"/>
      <c r="O224" s="64"/>
      <c r="P224" s="64"/>
      <c r="Q224" s="64"/>
      <c r="R224" s="64"/>
      <c r="S224" s="64"/>
    </row>
    <row r="225" spans="1:19">
      <c r="A225" s="73"/>
      <c r="B225" s="61"/>
      <c r="C225" s="76"/>
      <c r="D225" s="61"/>
      <c r="E225" s="52"/>
      <c r="F225" s="61"/>
      <c r="G225" s="25" t="s">
        <v>504</v>
      </c>
      <c r="H225" s="25">
        <v>0.31590000000000001</v>
      </c>
      <c r="I225" s="25">
        <v>0</v>
      </c>
      <c r="J225" s="25">
        <v>1</v>
      </c>
      <c r="K225" s="25">
        <v>1</v>
      </c>
      <c r="L225" s="78"/>
      <c r="M225" s="64"/>
      <c r="N225" s="73"/>
      <c r="O225" s="64"/>
      <c r="P225" s="64"/>
      <c r="Q225" s="64"/>
      <c r="R225" s="64"/>
      <c r="S225" s="64"/>
    </row>
    <row r="226" spans="1:19">
      <c r="A226" s="73"/>
      <c r="B226" s="61"/>
      <c r="C226" s="76"/>
      <c r="D226" s="61"/>
      <c r="E226" s="52"/>
      <c r="F226" s="61"/>
      <c r="G226" s="25" t="s">
        <v>505</v>
      </c>
      <c r="H226" s="25">
        <v>0.317</v>
      </c>
      <c r="I226" s="25">
        <v>0</v>
      </c>
      <c r="J226" s="25">
        <v>1</v>
      </c>
      <c r="K226" s="25">
        <v>1</v>
      </c>
      <c r="L226" s="78"/>
      <c r="M226" s="64"/>
      <c r="N226" s="73"/>
      <c r="O226" s="64"/>
      <c r="P226" s="64"/>
      <c r="Q226" s="64"/>
      <c r="R226" s="64"/>
      <c r="S226" s="64"/>
    </row>
    <row r="227" spans="1:19">
      <c r="A227" s="74"/>
      <c r="B227" s="62"/>
      <c r="C227" s="77"/>
      <c r="D227" s="62"/>
      <c r="E227" s="53"/>
      <c r="F227" s="62"/>
      <c r="G227" s="25" t="s">
        <v>343</v>
      </c>
      <c r="H227" s="25">
        <v>0.32479999999999998</v>
      </c>
      <c r="I227" s="25">
        <v>0</v>
      </c>
      <c r="J227" s="25">
        <v>1</v>
      </c>
      <c r="K227" s="25">
        <v>1</v>
      </c>
      <c r="L227" s="78"/>
      <c r="M227" s="64"/>
      <c r="N227" s="74"/>
      <c r="O227" s="64"/>
      <c r="P227" s="64"/>
      <c r="Q227" s="64"/>
      <c r="R227" s="64"/>
      <c r="S227" s="64"/>
    </row>
    <row r="228" spans="1:19">
      <c r="A228" s="69">
        <v>46</v>
      </c>
      <c r="B228" s="60" t="s">
        <v>379</v>
      </c>
      <c r="C228" s="65" t="s">
        <v>34</v>
      </c>
      <c r="D228" s="57" t="s">
        <v>344</v>
      </c>
      <c r="E228" s="48"/>
      <c r="F228" s="57" t="s">
        <v>506</v>
      </c>
      <c r="G228" t="s">
        <v>507</v>
      </c>
      <c r="H228" s="26">
        <v>0.34649999999999997</v>
      </c>
      <c r="I228" s="26">
        <v>0</v>
      </c>
      <c r="J228" s="26">
        <v>1</v>
      </c>
      <c r="K228" s="26">
        <v>1</v>
      </c>
      <c r="L228" s="68">
        <v>0.2</v>
      </c>
      <c r="M228" s="63">
        <v>3</v>
      </c>
      <c r="N228" s="69">
        <v>2</v>
      </c>
      <c r="O228" s="63">
        <v>3</v>
      </c>
      <c r="P228" s="63">
        <v>2</v>
      </c>
      <c r="Q228" s="63">
        <v>14.18</v>
      </c>
      <c r="R228" s="63">
        <v>1.1000000000000001</v>
      </c>
      <c r="S228" s="63">
        <v>1.72</v>
      </c>
    </row>
    <row r="229" spans="1:19">
      <c r="A229" s="70"/>
      <c r="B229" s="61"/>
      <c r="C229" s="66"/>
      <c r="D229" s="58"/>
      <c r="E229" s="49"/>
      <c r="F229" s="58"/>
      <c r="G229" s="26" t="s">
        <v>85</v>
      </c>
      <c r="H229" s="26">
        <v>0.40629999999999999</v>
      </c>
      <c r="I229" s="26">
        <v>0</v>
      </c>
      <c r="J229" s="26">
        <v>0</v>
      </c>
      <c r="K229" s="26">
        <v>1</v>
      </c>
      <c r="L229" s="68"/>
      <c r="M229" s="63"/>
      <c r="N229" s="70"/>
      <c r="O229" s="63"/>
      <c r="P229" s="63"/>
      <c r="Q229" s="63"/>
      <c r="R229" s="63"/>
      <c r="S229" s="63"/>
    </row>
    <row r="230" spans="1:19">
      <c r="A230" s="70"/>
      <c r="B230" s="61"/>
      <c r="C230" s="66"/>
      <c r="D230" s="58"/>
      <c r="E230" s="49"/>
      <c r="F230" s="58"/>
      <c r="G230" s="26" t="s">
        <v>508</v>
      </c>
      <c r="H230" s="26">
        <v>0.40989999999999999</v>
      </c>
      <c r="I230" s="26">
        <v>0</v>
      </c>
      <c r="J230" s="26">
        <v>0</v>
      </c>
      <c r="K230" s="26">
        <v>1</v>
      </c>
      <c r="L230" s="68"/>
      <c r="M230" s="63"/>
      <c r="N230" s="70"/>
      <c r="O230" s="63"/>
      <c r="P230" s="63"/>
      <c r="Q230" s="63"/>
      <c r="R230" s="63"/>
      <c r="S230" s="63"/>
    </row>
    <row r="231" spans="1:19">
      <c r="A231" s="70"/>
      <c r="B231" s="61"/>
      <c r="C231" s="66"/>
      <c r="D231" s="58"/>
      <c r="E231" s="49"/>
      <c r="F231" s="58"/>
      <c r="G231" s="26" t="s">
        <v>65</v>
      </c>
      <c r="H231" s="26">
        <v>0.41189999999999999</v>
      </c>
      <c r="I231" s="26">
        <v>0</v>
      </c>
      <c r="J231" s="26">
        <v>0</v>
      </c>
      <c r="K231" s="26">
        <v>1</v>
      </c>
      <c r="L231" s="68"/>
      <c r="M231" s="63"/>
      <c r="N231" s="70"/>
      <c r="O231" s="63"/>
      <c r="P231" s="63"/>
      <c r="Q231" s="63"/>
      <c r="R231" s="63"/>
      <c r="S231" s="63"/>
    </row>
    <row r="232" spans="1:19">
      <c r="A232" s="71"/>
      <c r="B232" s="62"/>
      <c r="C232" s="67"/>
      <c r="D232" s="59"/>
      <c r="E232" s="50"/>
      <c r="F232" s="59"/>
      <c r="G232" s="26" t="s">
        <v>509</v>
      </c>
      <c r="H232" s="26">
        <v>0.4123</v>
      </c>
      <c r="I232" s="26">
        <v>0</v>
      </c>
      <c r="J232" s="26">
        <v>0</v>
      </c>
      <c r="K232" s="26">
        <v>1</v>
      </c>
      <c r="L232" s="68"/>
      <c r="M232" s="63"/>
      <c r="N232" s="71"/>
      <c r="O232" s="63"/>
      <c r="P232" s="63"/>
      <c r="Q232" s="63"/>
      <c r="R232" s="63"/>
      <c r="S232" s="63"/>
    </row>
    <row r="233" spans="1:19">
      <c r="A233" s="72">
        <v>47</v>
      </c>
      <c r="B233" s="60" t="s">
        <v>379</v>
      </c>
      <c r="C233" s="75" t="s">
        <v>34</v>
      </c>
      <c r="D233" s="60" t="s">
        <v>510</v>
      </c>
      <c r="E233" s="51"/>
      <c r="F233" s="60" t="s">
        <v>511</v>
      </c>
      <c r="G233" s="25" t="s">
        <v>349</v>
      </c>
      <c r="H233" s="25">
        <v>0.3553</v>
      </c>
      <c r="I233" s="25">
        <v>0</v>
      </c>
      <c r="J233" s="25">
        <v>1</v>
      </c>
      <c r="K233" s="25">
        <v>1</v>
      </c>
      <c r="L233" s="78">
        <v>1</v>
      </c>
      <c r="M233" s="64">
        <v>2</v>
      </c>
      <c r="N233" s="72">
        <v>1</v>
      </c>
      <c r="O233" s="64">
        <v>3</v>
      </c>
      <c r="P233" s="64">
        <v>2</v>
      </c>
      <c r="Q233" s="64">
        <v>14.53</v>
      </c>
      <c r="R233" s="64">
        <v>0.84299999999999997</v>
      </c>
      <c r="S233" s="64">
        <v>1.66</v>
      </c>
    </row>
    <row r="234" spans="1:19">
      <c r="A234" s="73"/>
      <c r="B234" s="61"/>
      <c r="C234" s="76"/>
      <c r="D234" s="61"/>
      <c r="E234" s="52"/>
      <c r="F234" s="61"/>
      <c r="G234" s="25" t="s">
        <v>352</v>
      </c>
      <c r="H234" s="25">
        <v>0.37159999999999999</v>
      </c>
      <c r="I234" s="25">
        <v>0</v>
      </c>
      <c r="J234" s="25">
        <v>1</v>
      </c>
      <c r="K234" s="25">
        <v>1</v>
      </c>
      <c r="L234" s="78"/>
      <c r="M234" s="64"/>
      <c r="N234" s="73"/>
      <c r="O234" s="64"/>
      <c r="P234" s="64"/>
      <c r="Q234" s="64"/>
      <c r="R234" s="64"/>
      <c r="S234" s="64"/>
    </row>
    <row r="235" spans="1:19">
      <c r="A235" s="73"/>
      <c r="B235" s="61"/>
      <c r="C235" s="76"/>
      <c r="D235" s="61"/>
      <c r="E235" s="52"/>
      <c r="F235" s="61"/>
      <c r="G235" s="25" t="s">
        <v>512</v>
      </c>
      <c r="H235" s="25">
        <v>0.38080000000000003</v>
      </c>
      <c r="I235" s="25">
        <v>0</v>
      </c>
      <c r="J235" s="25">
        <v>1</v>
      </c>
      <c r="K235" s="25">
        <v>1</v>
      </c>
      <c r="L235" s="78"/>
      <c r="M235" s="64"/>
      <c r="N235" s="73"/>
      <c r="O235" s="64"/>
      <c r="P235" s="64"/>
      <c r="Q235" s="64"/>
      <c r="R235" s="64"/>
      <c r="S235" s="64"/>
    </row>
    <row r="236" spans="1:19">
      <c r="A236" s="73"/>
      <c r="B236" s="61"/>
      <c r="C236" s="76"/>
      <c r="D236" s="61"/>
      <c r="E236" s="52"/>
      <c r="F236" s="61"/>
      <c r="G236" s="25" t="s">
        <v>513</v>
      </c>
      <c r="H236" s="25">
        <v>0.38190000000000002</v>
      </c>
      <c r="I236" s="25">
        <v>0</v>
      </c>
      <c r="J236" s="25">
        <v>1</v>
      </c>
      <c r="K236" s="25">
        <v>1</v>
      </c>
      <c r="L236" s="78"/>
      <c r="M236" s="64"/>
      <c r="N236" s="73"/>
      <c r="O236" s="64"/>
      <c r="P236" s="64"/>
      <c r="Q236" s="64"/>
      <c r="R236" s="64"/>
      <c r="S236" s="64"/>
    </row>
    <row r="237" spans="1:19">
      <c r="A237" s="74"/>
      <c r="B237" s="62"/>
      <c r="C237" s="77"/>
      <c r="D237" s="62"/>
      <c r="E237" s="53"/>
      <c r="F237" s="62"/>
      <c r="G237" s="25" t="s">
        <v>350</v>
      </c>
      <c r="H237" s="25">
        <v>0.3866</v>
      </c>
      <c r="I237" s="25">
        <v>0</v>
      </c>
      <c r="J237" s="25">
        <v>1</v>
      </c>
      <c r="K237" s="25">
        <v>1</v>
      </c>
      <c r="L237" s="78"/>
      <c r="M237" s="64"/>
      <c r="N237" s="74"/>
      <c r="O237" s="64"/>
      <c r="P237" s="64"/>
      <c r="Q237" s="64"/>
      <c r="R237" s="64"/>
      <c r="S237" s="64"/>
    </row>
    <row r="238" spans="1:19">
      <c r="A238" s="69">
        <v>48</v>
      </c>
      <c r="B238" s="60" t="s">
        <v>379</v>
      </c>
      <c r="C238" s="65" t="s">
        <v>34</v>
      </c>
      <c r="D238" s="57" t="s">
        <v>354</v>
      </c>
      <c r="E238" s="48"/>
      <c r="F238" s="57" t="s">
        <v>514</v>
      </c>
      <c r="G238" s="26" t="s">
        <v>356</v>
      </c>
      <c r="H238" s="26">
        <v>0.3876</v>
      </c>
      <c r="I238" s="26">
        <v>0</v>
      </c>
      <c r="J238" s="26">
        <v>1</v>
      </c>
      <c r="K238" s="26">
        <v>1</v>
      </c>
      <c r="L238" s="68">
        <v>0.4</v>
      </c>
      <c r="M238" s="63">
        <v>3</v>
      </c>
      <c r="N238" s="69">
        <v>2</v>
      </c>
      <c r="O238" s="63">
        <v>3</v>
      </c>
      <c r="P238" s="63">
        <v>2</v>
      </c>
      <c r="Q238" s="63">
        <v>10.675000000000001</v>
      </c>
      <c r="R238" s="63">
        <v>1.2549999999999999</v>
      </c>
      <c r="S238" s="63">
        <v>0</v>
      </c>
    </row>
    <row r="239" spans="1:19">
      <c r="A239" s="70"/>
      <c r="B239" s="61"/>
      <c r="C239" s="66"/>
      <c r="D239" s="58"/>
      <c r="E239" s="49"/>
      <c r="F239" s="58"/>
      <c r="G239" s="26" t="s">
        <v>357</v>
      </c>
      <c r="H239" s="26">
        <v>0.3952</v>
      </c>
      <c r="I239" s="26">
        <v>0</v>
      </c>
      <c r="J239" s="26">
        <v>1</v>
      </c>
      <c r="K239" s="26">
        <v>1</v>
      </c>
      <c r="L239" s="68"/>
      <c r="M239" s="63"/>
      <c r="N239" s="70"/>
      <c r="O239" s="63"/>
      <c r="P239" s="63"/>
      <c r="Q239" s="63"/>
      <c r="R239" s="63"/>
      <c r="S239" s="63"/>
    </row>
    <row r="240" spans="1:19">
      <c r="A240" s="70"/>
      <c r="B240" s="61"/>
      <c r="C240" s="66"/>
      <c r="D240" s="58"/>
      <c r="E240" s="49"/>
      <c r="F240" s="58"/>
      <c r="G240" s="26" t="s">
        <v>515</v>
      </c>
      <c r="H240" s="26">
        <v>0.41149999999999998</v>
      </c>
      <c r="I240" s="26">
        <v>0</v>
      </c>
      <c r="J240" s="26">
        <v>0</v>
      </c>
      <c r="K240" s="26">
        <v>1</v>
      </c>
      <c r="L240" s="68"/>
      <c r="M240" s="63"/>
      <c r="N240" s="70"/>
      <c r="O240" s="63"/>
      <c r="P240" s="63"/>
      <c r="Q240" s="63"/>
      <c r="R240" s="63"/>
      <c r="S240" s="63"/>
    </row>
    <row r="241" spans="1:19">
      <c r="A241" s="70"/>
      <c r="B241" s="61"/>
      <c r="C241" s="66"/>
      <c r="D241" s="58"/>
      <c r="E241" s="49"/>
      <c r="F241" s="58"/>
      <c r="G241" t="s">
        <v>516</v>
      </c>
      <c r="H241" s="26">
        <v>0.41959999999999997</v>
      </c>
      <c r="I241" s="26">
        <v>0</v>
      </c>
      <c r="J241" s="26">
        <v>0</v>
      </c>
      <c r="K241" s="26">
        <v>1</v>
      </c>
      <c r="L241" s="68"/>
      <c r="M241" s="63"/>
      <c r="N241" s="70"/>
      <c r="O241" s="63"/>
      <c r="P241" s="63"/>
      <c r="Q241" s="63"/>
      <c r="R241" s="63"/>
      <c r="S241" s="63"/>
    </row>
    <row r="242" spans="1:19">
      <c r="A242" s="71"/>
      <c r="B242" s="62"/>
      <c r="C242" s="67"/>
      <c r="D242" s="59"/>
      <c r="E242" s="50"/>
      <c r="F242" s="59"/>
      <c r="G242" s="26" t="s">
        <v>359</v>
      </c>
      <c r="H242" s="26">
        <v>0.43209999999999998</v>
      </c>
      <c r="I242" s="26">
        <v>0</v>
      </c>
      <c r="J242" s="26">
        <v>0</v>
      </c>
      <c r="K242" s="26">
        <v>1</v>
      </c>
      <c r="L242" s="68"/>
      <c r="M242" s="63"/>
      <c r="N242" s="71"/>
      <c r="O242" s="63"/>
      <c r="P242" s="63"/>
      <c r="Q242" s="63"/>
      <c r="R242" s="63"/>
      <c r="S242" s="63"/>
    </row>
    <row r="243" spans="1:19">
      <c r="A243" s="72">
        <v>49</v>
      </c>
      <c r="B243" s="60" t="s">
        <v>379</v>
      </c>
      <c r="C243" s="75" t="s">
        <v>34</v>
      </c>
      <c r="D243" s="60" t="s">
        <v>360</v>
      </c>
      <c r="E243" s="51"/>
      <c r="F243" s="60" t="s">
        <v>517</v>
      </c>
      <c r="G243" s="25" t="s">
        <v>363</v>
      </c>
      <c r="H243" s="25">
        <v>0.33600000000000002</v>
      </c>
      <c r="I243" s="25">
        <v>1</v>
      </c>
      <c r="J243" s="25">
        <v>1</v>
      </c>
      <c r="K243" s="25">
        <v>1</v>
      </c>
      <c r="L243" s="78">
        <v>0.4</v>
      </c>
      <c r="M243" s="64">
        <v>3</v>
      </c>
      <c r="N243" s="72">
        <v>2</v>
      </c>
      <c r="O243" s="64">
        <v>2</v>
      </c>
      <c r="P243" s="64">
        <v>2</v>
      </c>
      <c r="Q243" s="64">
        <v>26.08</v>
      </c>
      <c r="R243" s="64">
        <v>0.85499999999999998</v>
      </c>
      <c r="S243" s="64">
        <v>1.97</v>
      </c>
    </row>
    <row r="244" spans="1:19">
      <c r="A244" s="73"/>
      <c r="B244" s="61"/>
      <c r="C244" s="76"/>
      <c r="D244" s="61"/>
      <c r="E244" s="52"/>
      <c r="F244" s="61"/>
      <c r="G244" s="25" t="s">
        <v>518</v>
      </c>
      <c r="H244" s="25">
        <v>0.40150000000000002</v>
      </c>
      <c r="I244" s="25">
        <v>0</v>
      </c>
      <c r="J244" s="25">
        <v>1</v>
      </c>
      <c r="K244" s="25">
        <v>1</v>
      </c>
      <c r="L244" s="78"/>
      <c r="M244" s="64"/>
      <c r="N244" s="73"/>
      <c r="O244" s="64"/>
      <c r="P244" s="64"/>
      <c r="Q244" s="64"/>
      <c r="R244" s="64"/>
      <c r="S244" s="64"/>
    </row>
    <row r="245" spans="1:19">
      <c r="A245" s="73"/>
      <c r="B245" s="61"/>
      <c r="C245" s="76"/>
      <c r="D245" s="61"/>
      <c r="E245" s="52"/>
      <c r="F245" s="61"/>
      <c r="G245" s="25" t="s">
        <v>367</v>
      </c>
      <c r="H245" s="25">
        <v>0.40849999999999997</v>
      </c>
      <c r="I245" s="25">
        <v>0</v>
      </c>
      <c r="J245" s="25">
        <v>0</v>
      </c>
      <c r="K245" s="25">
        <v>1</v>
      </c>
      <c r="L245" s="78"/>
      <c r="M245" s="64"/>
      <c r="N245" s="73"/>
      <c r="O245" s="64"/>
      <c r="P245" s="64"/>
      <c r="Q245" s="64"/>
      <c r="R245" s="64"/>
      <c r="S245" s="64"/>
    </row>
    <row r="246" spans="1:19">
      <c r="A246" s="73"/>
      <c r="B246" s="61"/>
      <c r="C246" s="76"/>
      <c r="D246" s="61"/>
      <c r="E246" s="52"/>
      <c r="F246" s="61"/>
      <c r="G246" s="25" t="s">
        <v>519</v>
      </c>
      <c r="H246" s="25">
        <v>0.41689999999999999</v>
      </c>
      <c r="I246" s="25">
        <v>0</v>
      </c>
      <c r="J246" s="25">
        <v>0</v>
      </c>
      <c r="K246" s="25">
        <v>1</v>
      </c>
      <c r="L246" s="78"/>
      <c r="M246" s="64"/>
      <c r="N246" s="73"/>
      <c r="O246" s="64"/>
      <c r="P246" s="64"/>
      <c r="Q246" s="64"/>
      <c r="R246" s="64"/>
      <c r="S246" s="64"/>
    </row>
    <row r="247" spans="1:19">
      <c r="A247" s="74"/>
      <c r="B247" s="62"/>
      <c r="C247" s="77"/>
      <c r="D247" s="62"/>
      <c r="E247" s="53"/>
      <c r="F247" s="62"/>
      <c r="G247" s="25" t="s">
        <v>364</v>
      </c>
      <c r="H247" s="25">
        <v>0.44240000000000002</v>
      </c>
      <c r="I247" s="25">
        <v>0</v>
      </c>
      <c r="J247" s="25">
        <v>0</v>
      </c>
      <c r="K247" s="25">
        <v>1</v>
      </c>
      <c r="L247" s="78"/>
      <c r="M247" s="64"/>
      <c r="N247" s="74"/>
      <c r="O247" s="64"/>
      <c r="P247" s="64"/>
      <c r="Q247" s="64"/>
      <c r="R247" s="64"/>
      <c r="S247" s="64"/>
    </row>
    <row r="248" spans="1:19">
      <c r="A248" s="69">
        <v>50</v>
      </c>
      <c r="B248" s="60" t="s">
        <v>379</v>
      </c>
      <c r="C248" s="65" t="s">
        <v>34</v>
      </c>
      <c r="D248" s="57" t="s">
        <v>361</v>
      </c>
      <c r="E248" s="48"/>
      <c r="F248" s="57" t="s">
        <v>522</v>
      </c>
      <c r="G248" s="26" t="s">
        <v>520</v>
      </c>
      <c r="H248" s="26">
        <v>0.34139999999999998</v>
      </c>
      <c r="I248" s="26">
        <v>0</v>
      </c>
      <c r="J248" s="26">
        <v>1</v>
      </c>
      <c r="K248" s="26">
        <v>1</v>
      </c>
      <c r="L248" s="68">
        <v>1</v>
      </c>
      <c r="M248" s="63">
        <v>3</v>
      </c>
      <c r="N248" s="69">
        <v>2</v>
      </c>
      <c r="O248" s="63">
        <v>3</v>
      </c>
      <c r="P248" s="63">
        <v>2</v>
      </c>
      <c r="Q248" s="63">
        <v>13.798</v>
      </c>
      <c r="R248" s="63">
        <v>1.5329999999999999</v>
      </c>
      <c r="S248" s="63">
        <v>0</v>
      </c>
    </row>
    <row r="249" spans="1:19">
      <c r="A249" s="70"/>
      <c r="B249" s="61"/>
      <c r="C249" s="66"/>
      <c r="D249" s="58"/>
      <c r="E249" s="49"/>
      <c r="F249" s="58"/>
      <c r="G249" s="26" t="s">
        <v>73</v>
      </c>
      <c r="H249" s="26">
        <v>0.35980000000000001</v>
      </c>
      <c r="I249" s="26">
        <v>0</v>
      </c>
      <c r="J249" s="26">
        <v>1</v>
      </c>
      <c r="K249" s="26">
        <v>1</v>
      </c>
      <c r="L249" s="68"/>
      <c r="M249" s="63"/>
      <c r="N249" s="70"/>
      <c r="O249" s="63"/>
      <c r="P249" s="63"/>
      <c r="Q249" s="63"/>
      <c r="R249" s="63"/>
      <c r="S249" s="63"/>
    </row>
    <row r="250" spans="1:19">
      <c r="A250" s="70"/>
      <c r="B250" s="61"/>
      <c r="C250" s="66"/>
      <c r="D250" s="58"/>
      <c r="E250" s="49"/>
      <c r="F250" s="58"/>
      <c r="G250" s="26" t="s">
        <v>74</v>
      </c>
      <c r="H250" s="26">
        <v>0.36990000000000001</v>
      </c>
      <c r="I250" s="26">
        <v>0</v>
      </c>
      <c r="J250" s="26">
        <v>1</v>
      </c>
      <c r="K250" s="26">
        <v>1</v>
      </c>
      <c r="L250" s="68"/>
      <c r="M250" s="63"/>
      <c r="N250" s="70"/>
      <c r="O250" s="63"/>
      <c r="P250" s="63"/>
      <c r="Q250" s="63"/>
      <c r="R250" s="63"/>
      <c r="S250" s="63"/>
    </row>
    <row r="251" spans="1:19">
      <c r="A251" s="70"/>
      <c r="B251" s="61"/>
      <c r="C251" s="66"/>
      <c r="D251" s="58"/>
      <c r="E251" s="49"/>
      <c r="F251" s="58"/>
      <c r="G251" s="26" t="s">
        <v>72</v>
      </c>
      <c r="H251" s="26">
        <v>0.37169999999999997</v>
      </c>
      <c r="I251" s="26">
        <v>0</v>
      </c>
      <c r="J251" s="26">
        <v>1</v>
      </c>
      <c r="K251" s="26">
        <v>1</v>
      </c>
      <c r="L251" s="68"/>
      <c r="M251" s="63"/>
      <c r="N251" s="70"/>
      <c r="O251" s="63"/>
      <c r="P251" s="63"/>
      <c r="Q251" s="63"/>
      <c r="R251" s="63"/>
      <c r="S251" s="63"/>
    </row>
    <row r="252" spans="1:19">
      <c r="A252" s="71"/>
      <c r="B252" s="62"/>
      <c r="C252" s="67"/>
      <c r="D252" s="59"/>
      <c r="E252" s="50"/>
      <c r="F252" s="59"/>
      <c r="G252" s="26" t="s">
        <v>521</v>
      </c>
      <c r="H252" s="26">
        <v>0.3997</v>
      </c>
      <c r="I252" s="26">
        <v>0</v>
      </c>
      <c r="J252" s="26">
        <v>1</v>
      </c>
      <c r="K252" s="26">
        <v>1</v>
      </c>
      <c r="L252" s="68"/>
      <c r="M252" s="63"/>
      <c r="N252" s="71"/>
      <c r="O252" s="63"/>
      <c r="P252" s="63"/>
      <c r="Q252" s="63"/>
      <c r="R252" s="63"/>
      <c r="S252" s="63"/>
    </row>
    <row r="253" spans="1:19">
      <c r="G253" s="28" t="s">
        <v>45</v>
      </c>
      <c r="H253" s="27">
        <f t="shared" ref="H253:Q253" si="0">AVERAGE(H3:H252)</f>
        <v>0.41576250000000026</v>
      </c>
      <c r="I253" s="37">
        <f t="shared" si="0"/>
        <v>7.5999999999999998E-2</v>
      </c>
      <c r="J253" s="37">
        <f t="shared" si="0"/>
        <v>0.436</v>
      </c>
      <c r="K253" s="37">
        <f t="shared" si="0"/>
        <v>0.81200000000000006</v>
      </c>
      <c r="L253" s="37">
        <f t="shared" si="0"/>
        <v>0.43599999999999989</v>
      </c>
      <c r="M253" s="37">
        <f t="shared" si="0"/>
        <v>2.9</v>
      </c>
      <c r="N253" s="37">
        <f t="shared" si="0"/>
        <v>2.2599999999999998</v>
      </c>
      <c r="O253" s="37">
        <f t="shared" si="0"/>
        <v>2.9</v>
      </c>
      <c r="P253" s="27">
        <f t="shared" si="0"/>
        <v>1.98</v>
      </c>
      <c r="Q253" s="37">
        <f t="shared" si="0"/>
        <v>12.046519999999996</v>
      </c>
      <c r="R253" s="36">
        <f>AVERAGEIF(R3:R252, "&lt;&gt;0")</f>
        <v>1.3055833333333338</v>
      </c>
      <c r="S253" s="37">
        <f>AVERAGEIF(S3:S252, "&lt;&gt;0")</f>
        <v>1.7102727272727269</v>
      </c>
    </row>
    <row r="254" spans="1:19" ht="31.2">
      <c r="H254" s="7" t="s">
        <v>101</v>
      </c>
      <c r="I254" s="7" t="s">
        <v>102</v>
      </c>
      <c r="J254" s="7" t="s">
        <v>103</v>
      </c>
      <c r="K254" s="7" t="s">
        <v>104</v>
      </c>
      <c r="L254" s="7" t="s">
        <v>105</v>
      </c>
      <c r="M254" s="7" t="s">
        <v>106</v>
      </c>
      <c r="N254" s="7" t="s">
        <v>107</v>
      </c>
      <c r="O254" s="7" t="s">
        <v>109</v>
      </c>
      <c r="P254" s="7" t="s">
        <v>110</v>
      </c>
      <c r="Q254" s="7" t="s">
        <v>112</v>
      </c>
      <c r="R254" s="7" t="s">
        <v>113</v>
      </c>
      <c r="S254" s="7" t="s">
        <v>114</v>
      </c>
    </row>
    <row r="255" spans="1:19">
      <c r="M255" s="29" t="s">
        <v>108</v>
      </c>
      <c r="N255" s="29" t="s">
        <v>108</v>
      </c>
      <c r="O255" s="29" t="s">
        <v>108</v>
      </c>
      <c r="P255" s="29" t="s">
        <v>111</v>
      </c>
    </row>
    <row r="256" spans="1:19">
      <c r="G256" t="s">
        <v>532</v>
      </c>
      <c r="M256" s="32">
        <f>(M253/3)*100</f>
        <v>96.666666666666671</v>
      </c>
      <c r="N256" s="32">
        <f>(N253/3)*100</f>
        <v>75.333333333333329</v>
      </c>
      <c r="O256" s="32">
        <f>(O253/3)*100</f>
        <v>96.666666666666671</v>
      </c>
      <c r="P256" s="32">
        <f>(P253/2)*100</f>
        <v>99</v>
      </c>
    </row>
    <row r="257" spans="7:20" ht="51.6" customHeight="1">
      <c r="G257" s="4" t="s">
        <v>9</v>
      </c>
      <c r="H257" s="4" t="s">
        <v>101</v>
      </c>
      <c r="I257" s="4" t="s">
        <v>102</v>
      </c>
      <c r="J257" s="4" t="s">
        <v>103</v>
      </c>
      <c r="K257" s="4" t="s">
        <v>104</v>
      </c>
      <c r="L257" s="4" t="s">
        <v>105</v>
      </c>
      <c r="M257" s="4" t="s">
        <v>375</v>
      </c>
      <c r="N257" s="4" t="s">
        <v>376</v>
      </c>
      <c r="O257" s="4" t="s">
        <v>377</v>
      </c>
      <c r="P257" s="4" t="s">
        <v>378</v>
      </c>
      <c r="Q257" s="4" t="s">
        <v>112</v>
      </c>
      <c r="R257" s="4" t="s">
        <v>113</v>
      </c>
      <c r="S257" s="4" t="s">
        <v>114</v>
      </c>
      <c r="T257" s="2" t="s">
        <v>523</v>
      </c>
    </row>
    <row r="258" spans="7:20" ht="60" customHeight="1">
      <c r="G258" s="38" t="s">
        <v>1</v>
      </c>
      <c r="H258" s="39">
        <f>AVERAGE(H3:H52)</f>
        <v>0.48347600000000002</v>
      </c>
      <c r="I258" s="39">
        <f t="shared" ref="I258:K258" si="1">AVERAGE(I3:I52)</f>
        <v>0.04</v>
      </c>
      <c r="J258" s="39">
        <f t="shared" si="1"/>
        <v>0.26</v>
      </c>
      <c r="K258" s="39">
        <f t="shared" si="1"/>
        <v>0.6</v>
      </c>
      <c r="L258" s="39">
        <f>AVERAGE(L3:L52)</f>
        <v>0.26</v>
      </c>
      <c r="M258" s="39">
        <f t="shared" ref="M258:R258" si="2">AVERAGE(M3:M52)</f>
        <v>3</v>
      </c>
      <c r="N258" s="39">
        <f t="shared" si="2"/>
        <v>2.2999999999999998</v>
      </c>
      <c r="O258" s="39">
        <f t="shared" si="2"/>
        <v>2.9</v>
      </c>
      <c r="P258" s="39">
        <f t="shared" si="2"/>
        <v>2</v>
      </c>
      <c r="Q258" s="39">
        <f t="shared" si="2"/>
        <v>12.7041</v>
      </c>
      <c r="R258" s="39">
        <f t="shared" si="2"/>
        <v>1.1122000000000001</v>
      </c>
      <c r="S258" s="39">
        <f>AVERAGEIF(S2:S52, "&lt;&gt;0")</f>
        <v>1.6013333333333335</v>
      </c>
      <c r="T258" s="3">
        <v>3</v>
      </c>
    </row>
    <row r="259" spans="7:20" ht="65.400000000000006" customHeight="1">
      <c r="G259" s="38" t="s">
        <v>25</v>
      </c>
      <c r="H259" s="39">
        <f>AVERAGE(H53:H102)</f>
        <v>0.40636799999999995</v>
      </c>
      <c r="I259" s="39">
        <f t="shared" ref="I259:K259" si="3">AVERAGE(I53:I102)</f>
        <v>0.08</v>
      </c>
      <c r="J259" s="39">
        <f t="shared" si="3"/>
        <v>0.36</v>
      </c>
      <c r="K259" s="39">
        <f t="shared" si="3"/>
        <v>0.94</v>
      </c>
      <c r="L259" s="39">
        <f>AVERAGE(L53:L102)</f>
        <v>0.36</v>
      </c>
      <c r="M259" s="39">
        <f t="shared" ref="M259:R259" si="4">AVERAGE(M53:M102)</f>
        <v>2.9</v>
      </c>
      <c r="N259" s="39">
        <f t="shared" si="4"/>
        <v>2.6</v>
      </c>
      <c r="O259" s="39">
        <f t="shared" si="4"/>
        <v>2.9</v>
      </c>
      <c r="P259" s="39">
        <f t="shared" si="4"/>
        <v>2</v>
      </c>
      <c r="Q259" s="39">
        <f t="shared" si="4"/>
        <v>10.6898</v>
      </c>
      <c r="R259" s="39">
        <f t="shared" si="4"/>
        <v>2.2810999999999999</v>
      </c>
      <c r="S259" s="39">
        <f>AVERAGEIF(S53:S102, "&lt;&gt;0")</f>
        <v>1.8825000000000001</v>
      </c>
      <c r="T259" s="3">
        <v>2</v>
      </c>
    </row>
    <row r="260" spans="7:20" ht="68.400000000000006" customHeight="1">
      <c r="G260" s="38" t="s">
        <v>32</v>
      </c>
      <c r="H260" s="39">
        <f>AVERAGE(H103:H152)</f>
        <v>0.43769777777777763</v>
      </c>
      <c r="I260" s="39">
        <f t="shared" ref="I260:K260" si="5">AVERAGE(I103:I152)</f>
        <v>0.04</v>
      </c>
      <c r="J260" s="39">
        <f t="shared" si="5"/>
        <v>0.32</v>
      </c>
      <c r="K260" s="39">
        <f t="shared" si="5"/>
        <v>0.72</v>
      </c>
      <c r="L260" s="39">
        <f>AVERAGE(L103:L152)</f>
        <v>0.32</v>
      </c>
      <c r="M260" s="39">
        <f t="shared" ref="M260:R260" si="6">AVERAGE(M103:M152)</f>
        <v>2.8</v>
      </c>
      <c r="N260" s="39">
        <f t="shared" si="6"/>
        <v>1.8</v>
      </c>
      <c r="O260" s="39">
        <f t="shared" si="6"/>
        <v>2.9</v>
      </c>
      <c r="P260" s="39">
        <f t="shared" si="6"/>
        <v>1.9</v>
      </c>
      <c r="Q260" s="39">
        <f t="shared" si="6"/>
        <v>13.975999999999999</v>
      </c>
      <c r="R260" s="39">
        <f t="shared" si="6"/>
        <v>0.91189999999999993</v>
      </c>
      <c r="S260" s="39">
        <f>AVERAGEIF(S103:S152, "&lt;&gt;0")</f>
        <v>1.5135000000000003</v>
      </c>
      <c r="T260" s="3">
        <v>6</v>
      </c>
    </row>
    <row r="261" spans="7:20" ht="72" customHeight="1">
      <c r="G261" s="38" t="s">
        <v>33</v>
      </c>
      <c r="H261" s="39">
        <f>AVERAGE(H153:H202)</f>
        <v>0.40882666666666678</v>
      </c>
      <c r="I261" s="39">
        <f t="shared" ref="I261:K261" si="7">AVERAGE(I153:I202)</f>
        <v>0.02</v>
      </c>
      <c r="J261" s="39">
        <f t="shared" si="7"/>
        <v>0.44</v>
      </c>
      <c r="K261" s="39">
        <f t="shared" si="7"/>
        <v>0.8</v>
      </c>
      <c r="L261" s="39">
        <f>AVERAGE(L153:L202)</f>
        <v>0.44000000000000006</v>
      </c>
      <c r="M261" s="39">
        <f t="shared" ref="M261:R261" si="8">AVERAGE(M153:M202)</f>
        <v>2.9</v>
      </c>
      <c r="N261" s="39">
        <f t="shared" si="8"/>
        <v>2.6</v>
      </c>
      <c r="O261" s="39">
        <f t="shared" si="8"/>
        <v>2.9</v>
      </c>
      <c r="P261" s="39">
        <f t="shared" si="8"/>
        <v>2</v>
      </c>
      <c r="Q261" s="39">
        <f t="shared" si="8"/>
        <v>9.6235000000000017</v>
      </c>
      <c r="R261" s="39">
        <f t="shared" si="8"/>
        <v>0.86590000000000011</v>
      </c>
      <c r="S261" s="39">
        <f>AVERAGEIF(S153:S202, "&lt;&gt;0")</f>
        <v>1.9562499999999998</v>
      </c>
      <c r="T261" s="3">
        <v>4</v>
      </c>
    </row>
    <row r="262" spans="7:20" ht="71.400000000000006" customHeight="1">
      <c r="G262" s="38" t="s">
        <v>34</v>
      </c>
      <c r="H262" s="39">
        <f>AVERAGE(H203:H252)</f>
        <v>0.34394400000000003</v>
      </c>
      <c r="I262" s="39">
        <f t="shared" ref="I262:K262" si="9">AVERAGE(I203:I252)</f>
        <v>0.2</v>
      </c>
      <c r="J262" s="39">
        <f t="shared" si="9"/>
        <v>0.8</v>
      </c>
      <c r="K262" s="39">
        <f t="shared" si="9"/>
        <v>1</v>
      </c>
      <c r="L262" s="39">
        <f>AVERAGE(L203:L252)</f>
        <v>0.8</v>
      </c>
      <c r="M262" s="39">
        <f t="shared" ref="M262:R262" si="10">AVERAGE(M203:M252)</f>
        <v>2.9</v>
      </c>
      <c r="N262" s="39">
        <f t="shared" si="10"/>
        <v>2</v>
      </c>
      <c r="O262" s="39">
        <f t="shared" si="10"/>
        <v>2.9</v>
      </c>
      <c r="P262" s="39">
        <f t="shared" si="10"/>
        <v>2</v>
      </c>
      <c r="Q262" s="39">
        <f t="shared" si="10"/>
        <v>13.2392</v>
      </c>
      <c r="R262" s="39">
        <f t="shared" si="10"/>
        <v>1.0956999999999999</v>
      </c>
      <c r="S262" s="39">
        <f>AVERAGEIF(S203:S252, "&lt;&gt;0")</f>
        <v>1.735857142857143</v>
      </c>
      <c r="T262" s="3">
        <v>7</v>
      </c>
    </row>
    <row r="264" spans="7:20">
      <c r="G264" s="42" t="s">
        <v>524</v>
      </c>
      <c r="H264" t="s">
        <v>525</v>
      </c>
    </row>
    <row r="265" spans="7:20">
      <c r="H265" t="s">
        <v>528</v>
      </c>
    </row>
    <row r="266" spans="7:20">
      <c r="H266" t="s">
        <v>529</v>
      </c>
    </row>
  </sheetData>
  <mergeCells count="652">
    <mergeCell ref="S3:S7"/>
    <mergeCell ref="A8:A12"/>
    <mergeCell ref="B8:B12"/>
    <mergeCell ref="C8:C12"/>
    <mergeCell ref="D8:D12"/>
    <mergeCell ref="F8:F12"/>
    <mergeCell ref="L8:L12"/>
    <mergeCell ref="M8:M12"/>
    <mergeCell ref="N8:N12"/>
    <mergeCell ref="O8:O12"/>
    <mergeCell ref="M3:M7"/>
    <mergeCell ref="N3:N7"/>
    <mergeCell ref="O3:O7"/>
    <mergeCell ref="P3:P7"/>
    <mergeCell ref="Q3:Q7"/>
    <mergeCell ref="R3:R7"/>
    <mergeCell ref="A3:A7"/>
    <mergeCell ref="B3:B7"/>
    <mergeCell ref="C3:C7"/>
    <mergeCell ref="D3:D7"/>
    <mergeCell ref="F3:F7"/>
    <mergeCell ref="L3:L7"/>
    <mergeCell ref="P8:P12"/>
    <mergeCell ref="Q8:Q12"/>
    <mergeCell ref="L18:L22"/>
    <mergeCell ref="M18:M22"/>
    <mergeCell ref="N18:N22"/>
    <mergeCell ref="O18:O22"/>
    <mergeCell ref="R8:R12"/>
    <mergeCell ref="S8:S12"/>
    <mergeCell ref="A13:A17"/>
    <mergeCell ref="B13:B17"/>
    <mergeCell ref="C13:C17"/>
    <mergeCell ref="D13:D17"/>
    <mergeCell ref="F13:F17"/>
    <mergeCell ref="L13:L17"/>
    <mergeCell ref="S13:S17"/>
    <mergeCell ref="M13:M17"/>
    <mergeCell ref="N13:N17"/>
    <mergeCell ref="O13:O17"/>
    <mergeCell ref="P13:P17"/>
    <mergeCell ref="Q13:Q17"/>
    <mergeCell ref="R13:R17"/>
    <mergeCell ref="N28:N32"/>
    <mergeCell ref="O28:O32"/>
    <mergeCell ref="P18:P22"/>
    <mergeCell ref="Q18:Q22"/>
    <mergeCell ref="R18:R22"/>
    <mergeCell ref="S18:S22"/>
    <mergeCell ref="A23:A27"/>
    <mergeCell ref="B23:B27"/>
    <mergeCell ref="C23:C27"/>
    <mergeCell ref="D23:D27"/>
    <mergeCell ref="F23:F27"/>
    <mergeCell ref="L23:L27"/>
    <mergeCell ref="S23:S27"/>
    <mergeCell ref="M23:M27"/>
    <mergeCell ref="N23:N27"/>
    <mergeCell ref="O23:O27"/>
    <mergeCell ref="P23:P27"/>
    <mergeCell ref="Q23:Q27"/>
    <mergeCell ref="R23:R27"/>
    <mergeCell ref="A18:A22"/>
    <mergeCell ref="B18:B22"/>
    <mergeCell ref="C18:C22"/>
    <mergeCell ref="D18:D22"/>
    <mergeCell ref="F18:F22"/>
    <mergeCell ref="P28:P32"/>
    <mergeCell ref="Q28:Q32"/>
    <mergeCell ref="R28:R32"/>
    <mergeCell ref="S28:S32"/>
    <mergeCell ref="A33:A37"/>
    <mergeCell ref="B33:B37"/>
    <mergeCell ref="C33:C37"/>
    <mergeCell ref="D33:D37"/>
    <mergeCell ref="F33:F37"/>
    <mergeCell ref="L33:L37"/>
    <mergeCell ref="S33:S37"/>
    <mergeCell ref="M33:M37"/>
    <mergeCell ref="N33:N37"/>
    <mergeCell ref="O33:O37"/>
    <mergeCell ref="P33:P37"/>
    <mergeCell ref="Q33:Q37"/>
    <mergeCell ref="R33:R37"/>
    <mergeCell ref="A28:A32"/>
    <mergeCell ref="B28:B32"/>
    <mergeCell ref="C28:C32"/>
    <mergeCell ref="D28:D32"/>
    <mergeCell ref="F28:F32"/>
    <mergeCell ref="L28:L32"/>
    <mergeCell ref="M28:M32"/>
    <mergeCell ref="S38:S42"/>
    <mergeCell ref="A43:A47"/>
    <mergeCell ref="B43:B47"/>
    <mergeCell ref="C43:C47"/>
    <mergeCell ref="D43:D47"/>
    <mergeCell ref="F43:F47"/>
    <mergeCell ref="L43:L47"/>
    <mergeCell ref="S43:S47"/>
    <mergeCell ref="M43:M47"/>
    <mergeCell ref="N43:N47"/>
    <mergeCell ref="O43:O47"/>
    <mergeCell ref="P43:P47"/>
    <mergeCell ref="Q43:Q47"/>
    <mergeCell ref="R43:R47"/>
    <mergeCell ref="A38:A42"/>
    <mergeCell ref="B38:B42"/>
    <mergeCell ref="C38:C42"/>
    <mergeCell ref="D38:D42"/>
    <mergeCell ref="F38:F42"/>
    <mergeCell ref="L38:L42"/>
    <mergeCell ref="M38:M42"/>
    <mergeCell ref="N38:N42"/>
    <mergeCell ref="O38:O42"/>
    <mergeCell ref="D48:D52"/>
    <mergeCell ref="F48:F52"/>
    <mergeCell ref="L48:L52"/>
    <mergeCell ref="M48:M52"/>
    <mergeCell ref="N48:N52"/>
    <mergeCell ref="O48:O52"/>
    <mergeCell ref="P38:P42"/>
    <mergeCell ref="Q38:Q42"/>
    <mergeCell ref="R38:R42"/>
    <mergeCell ref="L58:L62"/>
    <mergeCell ref="M58:M62"/>
    <mergeCell ref="N58:N62"/>
    <mergeCell ref="O58:O62"/>
    <mergeCell ref="P48:P52"/>
    <mergeCell ref="Q48:Q52"/>
    <mergeCell ref="R48:R52"/>
    <mergeCell ref="S48:S52"/>
    <mergeCell ref="A53:A57"/>
    <mergeCell ref="B53:B57"/>
    <mergeCell ref="C53:C57"/>
    <mergeCell ref="D53:D57"/>
    <mergeCell ref="F53:F57"/>
    <mergeCell ref="L53:L57"/>
    <mergeCell ref="S53:S57"/>
    <mergeCell ref="M53:M57"/>
    <mergeCell ref="N53:N57"/>
    <mergeCell ref="O53:O57"/>
    <mergeCell ref="P53:P57"/>
    <mergeCell ref="Q53:Q57"/>
    <mergeCell ref="R53:R57"/>
    <mergeCell ref="A48:A52"/>
    <mergeCell ref="B48:B52"/>
    <mergeCell ref="C48:C52"/>
    <mergeCell ref="N68:N72"/>
    <mergeCell ref="O68:O72"/>
    <mergeCell ref="P58:P62"/>
    <mergeCell ref="Q58:Q62"/>
    <mergeCell ref="R58:R62"/>
    <mergeCell ref="S58:S62"/>
    <mergeCell ref="A63:A67"/>
    <mergeCell ref="B63:B67"/>
    <mergeCell ref="C63:C67"/>
    <mergeCell ref="D63:D67"/>
    <mergeCell ref="F63:F67"/>
    <mergeCell ref="L63:L67"/>
    <mergeCell ref="S63:S67"/>
    <mergeCell ref="M63:M67"/>
    <mergeCell ref="N63:N67"/>
    <mergeCell ref="O63:O67"/>
    <mergeCell ref="P63:P67"/>
    <mergeCell ref="Q63:Q67"/>
    <mergeCell ref="R63:R67"/>
    <mergeCell ref="A58:A62"/>
    <mergeCell ref="B58:B62"/>
    <mergeCell ref="C58:C62"/>
    <mergeCell ref="D58:D62"/>
    <mergeCell ref="F58:F62"/>
    <mergeCell ref="P68:P72"/>
    <mergeCell ref="Q68:Q72"/>
    <mergeCell ref="R68:R72"/>
    <mergeCell ref="S68:S72"/>
    <mergeCell ref="A73:A77"/>
    <mergeCell ref="B73:B77"/>
    <mergeCell ref="C73:C77"/>
    <mergeCell ref="D73:D77"/>
    <mergeCell ref="F73:F77"/>
    <mergeCell ref="L73:L77"/>
    <mergeCell ref="S73:S77"/>
    <mergeCell ref="M73:M77"/>
    <mergeCell ref="N73:N77"/>
    <mergeCell ref="O73:O77"/>
    <mergeCell ref="P73:P77"/>
    <mergeCell ref="Q73:Q77"/>
    <mergeCell ref="R73:R77"/>
    <mergeCell ref="A68:A72"/>
    <mergeCell ref="B68:B72"/>
    <mergeCell ref="C68:C72"/>
    <mergeCell ref="D68:D72"/>
    <mergeCell ref="F68:F72"/>
    <mergeCell ref="L68:L72"/>
    <mergeCell ref="M68:M72"/>
    <mergeCell ref="S78:S82"/>
    <mergeCell ref="A83:A87"/>
    <mergeCell ref="B83:B87"/>
    <mergeCell ref="C83:C87"/>
    <mergeCell ref="D83:D87"/>
    <mergeCell ref="F83:F87"/>
    <mergeCell ref="L83:L87"/>
    <mergeCell ref="S83:S87"/>
    <mergeCell ref="M83:M87"/>
    <mergeCell ref="N83:N87"/>
    <mergeCell ref="O83:O87"/>
    <mergeCell ref="P83:P87"/>
    <mergeCell ref="Q83:Q87"/>
    <mergeCell ref="R83:R87"/>
    <mergeCell ref="A78:A82"/>
    <mergeCell ref="B78:B82"/>
    <mergeCell ref="C78:C82"/>
    <mergeCell ref="D78:D82"/>
    <mergeCell ref="F78:F82"/>
    <mergeCell ref="L78:L82"/>
    <mergeCell ref="M78:M82"/>
    <mergeCell ref="N78:N82"/>
    <mergeCell ref="O78:O82"/>
    <mergeCell ref="D88:D92"/>
    <mergeCell ref="F88:F92"/>
    <mergeCell ref="L88:L92"/>
    <mergeCell ref="M88:M92"/>
    <mergeCell ref="N88:N92"/>
    <mergeCell ref="O88:O92"/>
    <mergeCell ref="P78:P82"/>
    <mergeCell ref="Q78:Q82"/>
    <mergeCell ref="R78:R82"/>
    <mergeCell ref="L98:L102"/>
    <mergeCell ref="M98:M102"/>
    <mergeCell ref="N98:N102"/>
    <mergeCell ref="O98:O102"/>
    <mergeCell ref="P88:P92"/>
    <mergeCell ref="Q88:Q92"/>
    <mergeCell ref="R88:R92"/>
    <mergeCell ref="S88:S92"/>
    <mergeCell ref="A93:A97"/>
    <mergeCell ref="B93:B97"/>
    <mergeCell ref="C93:C97"/>
    <mergeCell ref="D93:D97"/>
    <mergeCell ref="F93:F97"/>
    <mergeCell ref="L93:L97"/>
    <mergeCell ref="S93:S97"/>
    <mergeCell ref="M93:M97"/>
    <mergeCell ref="N93:N97"/>
    <mergeCell ref="O93:O97"/>
    <mergeCell ref="P93:P97"/>
    <mergeCell ref="Q93:Q97"/>
    <mergeCell ref="R93:R97"/>
    <mergeCell ref="A88:A92"/>
    <mergeCell ref="B88:B92"/>
    <mergeCell ref="C88:C92"/>
    <mergeCell ref="N108:N112"/>
    <mergeCell ref="O108:O112"/>
    <mergeCell ref="P98:P102"/>
    <mergeCell ref="Q98:Q102"/>
    <mergeCell ref="R98:R102"/>
    <mergeCell ref="S98:S102"/>
    <mergeCell ref="A103:A107"/>
    <mergeCell ref="B103:B107"/>
    <mergeCell ref="C103:C107"/>
    <mergeCell ref="D103:D107"/>
    <mergeCell ref="F103:F107"/>
    <mergeCell ref="L103:L107"/>
    <mergeCell ref="S103:S107"/>
    <mergeCell ref="M103:M107"/>
    <mergeCell ref="N103:N107"/>
    <mergeCell ref="O103:O107"/>
    <mergeCell ref="P103:P107"/>
    <mergeCell ref="Q103:Q107"/>
    <mergeCell ref="R103:R107"/>
    <mergeCell ref="A98:A102"/>
    <mergeCell ref="B98:B102"/>
    <mergeCell ref="C98:C102"/>
    <mergeCell ref="D98:D102"/>
    <mergeCell ref="F98:F102"/>
    <mergeCell ref="P108:P112"/>
    <mergeCell ref="Q108:Q112"/>
    <mergeCell ref="R108:R112"/>
    <mergeCell ref="S108:S112"/>
    <mergeCell ref="A113:A117"/>
    <mergeCell ref="B113:B117"/>
    <mergeCell ref="C113:C117"/>
    <mergeCell ref="D113:D117"/>
    <mergeCell ref="F113:F117"/>
    <mergeCell ref="L113:L117"/>
    <mergeCell ref="S113:S117"/>
    <mergeCell ref="M113:M117"/>
    <mergeCell ref="N113:N117"/>
    <mergeCell ref="O113:O117"/>
    <mergeCell ref="P113:P117"/>
    <mergeCell ref="Q113:Q117"/>
    <mergeCell ref="R113:R117"/>
    <mergeCell ref="A108:A112"/>
    <mergeCell ref="B108:B112"/>
    <mergeCell ref="C108:C112"/>
    <mergeCell ref="D108:D112"/>
    <mergeCell ref="F108:F112"/>
    <mergeCell ref="L108:L112"/>
    <mergeCell ref="M108:M112"/>
    <mergeCell ref="S118:S122"/>
    <mergeCell ref="A123:A127"/>
    <mergeCell ref="B123:B127"/>
    <mergeCell ref="C123:C127"/>
    <mergeCell ref="D123:D127"/>
    <mergeCell ref="F123:F127"/>
    <mergeCell ref="L123:L127"/>
    <mergeCell ref="S123:S127"/>
    <mergeCell ref="M123:M127"/>
    <mergeCell ref="N123:N127"/>
    <mergeCell ref="O123:O127"/>
    <mergeCell ref="P123:P127"/>
    <mergeCell ref="Q123:Q127"/>
    <mergeCell ref="R123:R127"/>
    <mergeCell ref="A118:A122"/>
    <mergeCell ref="B118:B122"/>
    <mergeCell ref="C118:C122"/>
    <mergeCell ref="D118:D122"/>
    <mergeCell ref="F118:F122"/>
    <mergeCell ref="L118:L122"/>
    <mergeCell ref="M118:M122"/>
    <mergeCell ref="N118:N122"/>
    <mergeCell ref="O118:O122"/>
    <mergeCell ref="D128:D132"/>
    <mergeCell ref="F128:F132"/>
    <mergeCell ref="L128:L132"/>
    <mergeCell ref="M128:M132"/>
    <mergeCell ref="N128:N132"/>
    <mergeCell ref="O128:O132"/>
    <mergeCell ref="P118:P122"/>
    <mergeCell ref="Q118:Q122"/>
    <mergeCell ref="R118:R122"/>
    <mergeCell ref="L138:L142"/>
    <mergeCell ref="M138:M142"/>
    <mergeCell ref="N138:N142"/>
    <mergeCell ref="O138:O142"/>
    <mergeCell ref="P128:P132"/>
    <mergeCell ref="Q128:Q132"/>
    <mergeCell ref="R128:R132"/>
    <mergeCell ref="S128:S132"/>
    <mergeCell ref="A133:A137"/>
    <mergeCell ref="B133:B137"/>
    <mergeCell ref="C133:C137"/>
    <mergeCell ref="D133:D137"/>
    <mergeCell ref="F133:F137"/>
    <mergeCell ref="L133:L137"/>
    <mergeCell ref="S133:S137"/>
    <mergeCell ref="M133:M137"/>
    <mergeCell ref="N133:N137"/>
    <mergeCell ref="O133:O137"/>
    <mergeCell ref="P133:P137"/>
    <mergeCell ref="Q133:Q137"/>
    <mergeCell ref="R133:R137"/>
    <mergeCell ref="A128:A132"/>
    <mergeCell ref="B128:B132"/>
    <mergeCell ref="C128:C132"/>
    <mergeCell ref="N148:N152"/>
    <mergeCell ref="O148:O152"/>
    <mergeCell ref="P138:P142"/>
    <mergeCell ref="Q138:Q142"/>
    <mergeCell ref="R138:R142"/>
    <mergeCell ref="S138:S142"/>
    <mergeCell ref="A143:A147"/>
    <mergeCell ref="B143:B147"/>
    <mergeCell ref="C143:C147"/>
    <mergeCell ref="D143:D147"/>
    <mergeCell ref="F143:F147"/>
    <mergeCell ref="L143:L147"/>
    <mergeCell ref="S143:S147"/>
    <mergeCell ref="M143:M147"/>
    <mergeCell ref="N143:N147"/>
    <mergeCell ref="O143:O147"/>
    <mergeCell ref="P143:P147"/>
    <mergeCell ref="Q143:Q147"/>
    <mergeCell ref="R143:R147"/>
    <mergeCell ref="A138:A142"/>
    <mergeCell ref="B138:B142"/>
    <mergeCell ref="C138:C142"/>
    <mergeCell ref="D138:D142"/>
    <mergeCell ref="F138:F142"/>
    <mergeCell ref="P148:P152"/>
    <mergeCell ref="Q148:Q152"/>
    <mergeCell ref="R148:R152"/>
    <mergeCell ref="S148:S152"/>
    <mergeCell ref="A153:A157"/>
    <mergeCell ref="B153:B157"/>
    <mergeCell ref="C153:C157"/>
    <mergeCell ref="D153:D157"/>
    <mergeCell ref="F153:F157"/>
    <mergeCell ref="L153:L157"/>
    <mergeCell ref="S153:S157"/>
    <mergeCell ref="M153:M157"/>
    <mergeCell ref="N153:N157"/>
    <mergeCell ref="O153:O157"/>
    <mergeCell ref="P153:P157"/>
    <mergeCell ref="Q153:Q157"/>
    <mergeCell ref="R153:R157"/>
    <mergeCell ref="A148:A152"/>
    <mergeCell ref="B148:B152"/>
    <mergeCell ref="C148:C152"/>
    <mergeCell ref="D148:D152"/>
    <mergeCell ref="F148:F152"/>
    <mergeCell ref="L148:L152"/>
    <mergeCell ref="M148:M152"/>
    <mergeCell ref="S158:S162"/>
    <mergeCell ref="A163:A167"/>
    <mergeCell ref="B163:B167"/>
    <mergeCell ref="C163:C167"/>
    <mergeCell ref="D163:D167"/>
    <mergeCell ref="F163:F167"/>
    <mergeCell ref="L163:L167"/>
    <mergeCell ref="S163:S167"/>
    <mergeCell ref="M163:M167"/>
    <mergeCell ref="N163:N167"/>
    <mergeCell ref="O163:O167"/>
    <mergeCell ref="P163:P167"/>
    <mergeCell ref="Q163:Q167"/>
    <mergeCell ref="R163:R167"/>
    <mergeCell ref="A158:A162"/>
    <mergeCell ref="B158:B162"/>
    <mergeCell ref="C158:C162"/>
    <mergeCell ref="D158:D162"/>
    <mergeCell ref="F158:F162"/>
    <mergeCell ref="L158:L162"/>
    <mergeCell ref="M158:M162"/>
    <mergeCell ref="N158:N162"/>
    <mergeCell ref="O158:O162"/>
    <mergeCell ref="D168:D172"/>
    <mergeCell ref="F168:F172"/>
    <mergeCell ref="L168:L172"/>
    <mergeCell ref="M168:M172"/>
    <mergeCell ref="N168:N172"/>
    <mergeCell ref="O168:O172"/>
    <mergeCell ref="P158:P162"/>
    <mergeCell ref="Q158:Q162"/>
    <mergeCell ref="R158:R162"/>
    <mergeCell ref="L178:L182"/>
    <mergeCell ref="M178:M182"/>
    <mergeCell ref="N178:N182"/>
    <mergeCell ref="O178:O182"/>
    <mergeCell ref="P168:P172"/>
    <mergeCell ref="Q168:Q172"/>
    <mergeCell ref="R168:R172"/>
    <mergeCell ref="S168:S172"/>
    <mergeCell ref="A173:A177"/>
    <mergeCell ref="B173:B177"/>
    <mergeCell ref="C173:C177"/>
    <mergeCell ref="D173:D177"/>
    <mergeCell ref="F173:F177"/>
    <mergeCell ref="L173:L177"/>
    <mergeCell ref="S173:S177"/>
    <mergeCell ref="M173:M177"/>
    <mergeCell ref="N173:N177"/>
    <mergeCell ref="O173:O177"/>
    <mergeCell ref="P173:P177"/>
    <mergeCell ref="Q173:Q177"/>
    <mergeCell ref="R173:R177"/>
    <mergeCell ref="A168:A172"/>
    <mergeCell ref="B168:B172"/>
    <mergeCell ref="C168:C172"/>
    <mergeCell ref="N188:N192"/>
    <mergeCell ref="O188:O192"/>
    <mergeCell ref="P178:P182"/>
    <mergeCell ref="Q178:Q182"/>
    <mergeCell ref="R178:R182"/>
    <mergeCell ref="S178:S182"/>
    <mergeCell ref="A183:A187"/>
    <mergeCell ref="B183:B187"/>
    <mergeCell ref="C183:C187"/>
    <mergeCell ref="D183:D187"/>
    <mergeCell ref="F183:F187"/>
    <mergeCell ref="L183:L187"/>
    <mergeCell ref="S183:S187"/>
    <mergeCell ref="M183:M187"/>
    <mergeCell ref="N183:N187"/>
    <mergeCell ref="O183:O187"/>
    <mergeCell ref="P183:P187"/>
    <mergeCell ref="Q183:Q187"/>
    <mergeCell ref="R183:R187"/>
    <mergeCell ref="A178:A182"/>
    <mergeCell ref="B178:B182"/>
    <mergeCell ref="C178:C182"/>
    <mergeCell ref="D178:D182"/>
    <mergeCell ref="F178:F182"/>
    <mergeCell ref="P188:P192"/>
    <mergeCell ref="Q188:Q192"/>
    <mergeCell ref="R188:R192"/>
    <mergeCell ref="S188:S192"/>
    <mergeCell ref="A193:A197"/>
    <mergeCell ref="B193:B197"/>
    <mergeCell ref="C193:C197"/>
    <mergeCell ref="D193:D197"/>
    <mergeCell ref="F193:F197"/>
    <mergeCell ref="L193:L197"/>
    <mergeCell ref="S193:S197"/>
    <mergeCell ref="M193:M197"/>
    <mergeCell ref="N193:N197"/>
    <mergeCell ref="O193:O197"/>
    <mergeCell ref="P193:P197"/>
    <mergeCell ref="Q193:Q197"/>
    <mergeCell ref="R193:R197"/>
    <mergeCell ref="A188:A192"/>
    <mergeCell ref="B188:B192"/>
    <mergeCell ref="C188:C192"/>
    <mergeCell ref="D188:D192"/>
    <mergeCell ref="F188:F192"/>
    <mergeCell ref="L188:L192"/>
    <mergeCell ref="M188:M192"/>
    <mergeCell ref="S198:S202"/>
    <mergeCell ref="A203:A207"/>
    <mergeCell ref="B203:B207"/>
    <mergeCell ref="C203:C207"/>
    <mergeCell ref="D203:D207"/>
    <mergeCell ref="F203:F207"/>
    <mergeCell ref="L203:L207"/>
    <mergeCell ref="S203:S207"/>
    <mergeCell ref="M203:M207"/>
    <mergeCell ref="N203:N207"/>
    <mergeCell ref="O203:O207"/>
    <mergeCell ref="P203:P207"/>
    <mergeCell ref="Q203:Q207"/>
    <mergeCell ref="R203:R207"/>
    <mergeCell ref="A198:A202"/>
    <mergeCell ref="B198:B202"/>
    <mergeCell ref="C198:C202"/>
    <mergeCell ref="D198:D202"/>
    <mergeCell ref="F198:F202"/>
    <mergeCell ref="L198:L202"/>
    <mergeCell ref="M198:M202"/>
    <mergeCell ref="N198:N202"/>
    <mergeCell ref="O198:O202"/>
    <mergeCell ref="D208:D212"/>
    <mergeCell ref="F208:F212"/>
    <mergeCell ref="L208:L212"/>
    <mergeCell ref="M208:M212"/>
    <mergeCell ref="N208:N212"/>
    <mergeCell ref="O208:O212"/>
    <mergeCell ref="P198:P202"/>
    <mergeCell ref="Q198:Q202"/>
    <mergeCell ref="R198:R202"/>
    <mergeCell ref="L218:L222"/>
    <mergeCell ref="M218:M222"/>
    <mergeCell ref="N218:N222"/>
    <mergeCell ref="O218:O222"/>
    <mergeCell ref="P208:P212"/>
    <mergeCell ref="Q208:Q212"/>
    <mergeCell ref="R208:R212"/>
    <mergeCell ref="S208:S212"/>
    <mergeCell ref="A213:A217"/>
    <mergeCell ref="B213:B217"/>
    <mergeCell ref="C213:C217"/>
    <mergeCell ref="D213:D217"/>
    <mergeCell ref="F213:F217"/>
    <mergeCell ref="L213:L217"/>
    <mergeCell ref="S213:S217"/>
    <mergeCell ref="M213:M217"/>
    <mergeCell ref="N213:N217"/>
    <mergeCell ref="O213:O217"/>
    <mergeCell ref="P213:P217"/>
    <mergeCell ref="Q213:Q217"/>
    <mergeCell ref="R213:R217"/>
    <mergeCell ref="A208:A212"/>
    <mergeCell ref="B208:B212"/>
    <mergeCell ref="C208:C212"/>
    <mergeCell ref="N228:N232"/>
    <mergeCell ref="O228:O232"/>
    <mergeCell ref="P218:P222"/>
    <mergeCell ref="Q218:Q222"/>
    <mergeCell ref="R218:R222"/>
    <mergeCell ref="S218:S222"/>
    <mergeCell ref="A223:A227"/>
    <mergeCell ref="B223:B227"/>
    <mergeCell ref="C223:C227"/>
    <mergeCell ref="D223:D227"/>
    <mergeCell ref="F223:F227"/>
    <mergeCell ref="L223:L227"/>
    <mergeCell ref="S223:S227"/>
    <mergeCell ref="M223:M227"/>
    <mergeCell ref="N223:N227"/>
    <mergeCell ref="O223:O227"/>
    <mergeCell ref="P223:P227"/>
    <mergeCell ref="Q223:Q227"/>
    <mergeCell ref="R223:R227"/>
    <mergeCell ref="A218:A222"/>
    <mergeCell ref="B218:B222"/>
    <mergeCell ref="C218:C222"/>
    <mergeCell ref="D218:D222"/>
    <mergeCell ref="F218:F222"/>
    <mergeCell ref="P228:P232"/>
    <mergeCell ref="Q228:Q232"/>
    <mergeCell ref="R228:R232"/>
    <mergeCell ref="S228:S232"/>
    <mergeCell ref="A233:A237"/>
    <mergeCell ref="B233:B237"/>
    <mergeCell ref="C233:C237"/>
    <mergeCell ref="D233:D237"/>
    <mergeCell ref="F233:F237"/>
    <mergeCell ref="L233:L237"/>
    <mergeCell ref="S233:S237"/>
    <mergeCell ref="M233:M237"/>
    <mergeCell ref="N233:N237"/>
    <mergeCell ref="O233:O237"/>
    <mergeCell ref="P233:P237"/>
    <mergeCell ref="Q233:Q237"/>
    <mergeCell ref="R233:R237"/>
    <mergeCell ref="A228:A232"/>
    <mergeCell ref="B228:B232"/>
    <mergeCell ref="C228:C232"/>
    <mergeCell ref="D228:D232"/>
    <mergeCell ref="F228:F232"/>
    <mergeCell ref="L228:L232"/>
    <mergeCell ref="M228:M232"/>
    <mergeCell ref="R238:R242"/>
    <mergeCell ref="S238:S242"/>
    <mergeCell ref="A243:A247"/>
    <mergeCell ref="B243:B247"/>
    <mergeCell ref="C243:C247"/>
    <mergeCell ref="D243:D247"/>
    <mergeCell ref="F243:F247"/>
    <mergeCell ref="L243:L247"/>
    <mergeCell ref="A238:A242"/>
    <mergeCell ref="B238:B242"/>
    <mergeCell ref="C238:C242"/>
    <mergeCell ref="D238:D242"/>
    <mergeCell ref="F238:F242"/>
    <mergeCell ref="L238:L242"/>
    <mergeCell ref="M238:M242"/>
    <mergeCell ref="N238:N242"/>
    <mergeCell ref="O238:O242"/>
    <mergeCell ref="E3:E7"/>
    <mergeCell ref="E8:E12"/>
    <mergeCell ref="P248:P252"/>
    <mergeCell ref="Q248:Q252"/>
    <mergeCell ref="R248:R252"/>
    <mergeCell ref="S248:S252"/>
    <mergeCell ref="S243:S247"/>
    <mergeCell ref="A248:A252"/>
    <mergeCell ref="B248:B252"/>
    <mergeCell ref="C248:C252"/>
    <mergeCell ref="D248:D252"/>
    <mergeCell ref="F248:F252"/>
    <mergeCell ref="L248:L252"/>
    <mergeCell ref="M248:M252"/>
    <mergeCell ref="N248:N252"/>
    <mergeCell ref="O248:O252"/>
    <mergeCell ref="M243:M247"/>
    <mergeCell ref="N243:N247"/>
    <mergeCell ref="O243:O247"/>
    <mergeCell ref="P243:P247"/>
    <mergeCell ref="Q243:Q247"/>
    <mergeCell ref="R243:R247"/>
    <mergeCell ref="P238:P242"/>
    <mergeCell ref="Q238:Q242"/>
  </mergeCells>
  <hyperlinks>
    <hyperlink ref="L2" r:id="rId1" xr:uid="{99253618-747B-4557-B08F-80353601C378}"/>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80DE-A5E4-4DCF-AE77-149F40F8064E}">
  <dimension ref="B1:AD11"/>
  <sheetViews>
    <sheetView tabSelected="1" zoomScale="85" zoomScaleNormal="85" workbookViewId="0">
      <selection activeCell="J2" sqref="J2:N2"/>
    </sheetView>
  </sheetViews>
  <sheetFormatPr defaultRowHeight="15.6"/>
  <cols>
    <col min="2" max="2" width="10.69921875" bestFit="1" customWidth="1"/>
    <col min="3" max="3" width="10.09765625" customWidth="1"/>
    <col min="4" max="4" width="16.09765625" customWidth="1"/>
    <col min="5" max="5" width="13.8984375" customWidth="1"/>
    <col min="6" max="6" width="15.59765625" customWidth="1"/>
    <col min="7" max="7" width="16.3984375" customWidth="1"/>
    <col min="18" max="18" width="11.8984375" customWidth="1"/>
    <col min="19" max="19" width="13.19921875" customWidth="1"/>
    <col min="20" max="20" width="13.296875" customWidth="1"/>
    <col min="21" max="21" width="14" customWidth="1"/>
    <col min="22" max="22" width="17.3984375" customWidth="1"/>
  </cols>
  <sheetData>
    <row r="1" spans="2:30" ht="62.4">
      <c r="B1" s="1" t="s">
        <v>535</v>
      </c>
      <c r="C1" s="1" t="s">
        <v>536</v>
      </c>
      <c r="D1" s="7" t="s">
        <v>537</v>
      </c>
      <c r="E1" s="7" t="s">
        <v>538</v>
      </c>
      <c r="F1" s="7" t="s">
        <v>539</v>
      </c>
      <c r="G1" s="7" t="s">
        <v>540</v>
      </c>
      <c r="H1" s="7" t="s">
        <v>549</v>
      </c>
      <c r="I1" s="7" t="s">
        <v>552</v>
      </c>
      <c r="K1" s="7" t="s">
        <v>547</v>
      </c>
      <c r="P1" s="1" t="s">
        <v>535</v>
      </c>
      <c r="Q1" s="1" t="s">
        <v>536</v>
      </c>
      <c r="R1" s="7" t="s">
        <v>559</v>
      </c>
      <c r="S1" s="7" t="s">
        <v>558</v>
      </c>
      <c r="T1" s="7" t="s">
        <v>560</v>
      </c>
      <c r="U1" s="7" t="s">
        <v>561</v>
      </c>
      <c r="V1" s="7" t="s">
        <v>562</v>
      </c>
      <c r="W1" s="7" t="s">
        <v>549</v>
      </c>
      <c r="X1" s="7" t="s">
        <v>552</v>
      </c>
    </row>
    <row r="2" spans="2:30">
      <c r="B2" t="s">
        <v>534</v>
      </c>
      <c r="C2">
        <v>50</v>
      </c>
      <c r="D2">
        <v>3</v>
      </c>
      <c r="E2">
        <v>4</v>
      </c>
      <c r="F2">
        <v>4</v>
      </c>
      <c r="G2">
        <v>5</v>
      </c>
      <c r="H2">
        <v>64.63</v>
      </c>
      <c r="I2">
        <v>0.11</v>
      </c>
      <c r="J2" s="54" t="s">
        <v>551</v>
      </c>
      <c r="K2" s="54"/>
      <c r="L2" s="54"/>
      <c r="M2" s="54"/>
      <c r="N2" s="54"/>
      <c r="P2" t="s">
        <v>534</v>
      </c>
      <c r="Q2">
        <v>50</v>
      </c>
      <c r="R2">
        <v>5</v>
      </c>
      <c r="S2">
        <v>4</v>
      </c>
      <c r="T2">
        <v>4</v>
      </c>
      <c r="U2">
        <v>5</v>
      </c>
      <c r="V2">
        <v>4</v>
      </c>
      <c r="W2">
        <v>38.25</v>
      </c>
      <c r="X2">
        <v>2.0489999999999999</v>
      </c>
      <c r="AA2" s="54" t="s">
        <v>554</v>
      </c>
      <c r="AB2" s="54"/>
      <c r="AC2" s="54"/>
      <c r="AD2" s="54"/>
    </row>
    <row r="3" spans="2:30">
      <c r="B3" t="s">
        <v>534</v>
      </c>
      <c r="C3">
        <v>30</v>
      </c>
      <c r="D3">
        <v>3</v>
      </c>
      <c r="E3">
        <v>4</v>
      </c>
      <c r="F3">
        <v>4</v>
      </c>
      <c r="G3">
        <v>4</v>
      </c>
      <c r="H3">
        <v>47.36</v>
      </c>
      <c r="I3">
        <v>0.21</v>
      </c>
      <c r="J3" s="54" t="s">
        <v>553</v>
      </c>
      <c r="K3" s="54"/>
      <c r="L3" s="54"/>
      <c r="M3" s="54"/>
      <c r="N3" s="54"/>
      <c r="P3" t="s">
        <v>534</v>
      </c>
      <c r="Q3">
        <v>30</v>
      </c>
      <c r="R3">
        <v>5</v>
      </c>
      <c r="S3">
        <v>4</v>
      </c>
      <c r="T3">
        <v>4</v>
      </c>
      <c r="U3">
        <v>5</v>
      </c>
      <c r="V3">
        <v>4</v>
      </c>
      <c r="W3">
        <v>35.56</v>
      </c>
      <c r="X3" t="s">
        <v>374</v>
      </c>
      <c r="AA3" s="54" t="s">
        <v>563</v>
      </c>
      <c r="AB3" s="54"/>
      <c r="AC3" s="54"/>
      <c r="AD3" s="54"/>
    </row>
    <row r="4" spans="2:30">
      <c r="B4" t="s">
        <v>534</v>
      </c>
      <c r="C4">
        <v>10</v>
      </c>
      <c r="D4">
        <v>4</v>
      </c>
      <c r="E4">
        <v>4</v>
      </c>
      <c r="F4">
        <v>4</v>
      </c>
      <c r="G4">
        <v>5</v>
      </c>
      <c r="H4">
        <v>28.78</v>
      </c>
      <c r="I4">
        <v>0.12</v>
      </c>
      <c r="J4" s="54" t="s">
        <v>543</v>
      </c>
      <c r="K4" s="54"/>
      <c r="L4" s="54"/>
      <c r="M4" s="54"/>
      <c r="N4" s="54"/>
      <c r="P4" t="s">
        <v>534</v>
      </c>
      <c r="Q4">
        <v>10</v>
      </c>
      <c r="R4">
        <v>4</v>
      </c>
      <c r="S4">
        <v>4</v>
      </c>
      <c r="T4">
        <v>4</v>
      </c>
      <c r="U4">
        <v>5</v>
      </c>
      <c r="V4">
        <v>3</v>
      </c>
      <c r="W4">
        <v>36.1</v>
      </c>
      <c r="X4">
        <v>1.4830000000000001</v>
      </c>
      <c r="AA4" s="54" t="s">
        <v>564</v>
      </c>
      <c r="AB4" s="54"/>
      <c r="AC4" s="54"/>
      <c r="AD4" s="54"/>
    </row>
    <row r="5" spans="2:30">
      <c r="B5" t="s">
        <v>541</v>
      </c>
      <c r="C5">
        <v>50</v>
      </c>
      <c r="D5">
        <v>4</v>
      </c>
      <c r="E5">
        <v>4</v>
      </c>
      <c r="F5">
        <v>4</v>
      </c>
      <c r="G5">
        <v>4</v>
      </c>
      <c r="H5">
        <v>78.05</v>
      </c>
      <c r="I5">
        <v>0.16</v>
      </c>
      <c r="J5" s="54" t="s">
        <v>544</v>
      </c>
      <c r="K5" s="54"/>
      <c r="L5" s="54"/>
      <c r="M5" s="54"/>
      <c r="N5" s="54"/>
      <c r="P5" t="s">
        <v>541</v>
      </c>
      <c r="Q5">
        <v>50</v>
      </c>
      <c r="R5">
        <v>5</v>
      </c>
      <c r="S5">
        <v>4</v>
      </c>
      <c r="T5">
        <v>4</v>
      </c>
      <c r="U5">
        <v>5</v>
      </c>
      <c r="V5">
        <v>4</v>
      </c>
      <c r="W5">
        <v>45.47</v>
      </c>
      <c r="X5">
        <v>2.4300000000000002</v>
      </c>
      <c r="AA5" s="54" t="s">
        <v>565</v>
      </c>
      <c r="AB5" s="54"/>
      <c r="AC5" s="54"/>
      <c r="AD5" s="54"/>
    </row>
    <row r="6" spans="2:30">
      <c r="C6" t="s">
        <v>45</v>
      </c>
      <c r="D6">
        <f>AVERAGE(D2:D5)</f>
        <v>3.5</v>
      </c>
      <c r="E6">
        <f t="shared" ref="E6:G6" si="0">AVERAGE(E2:E5)</f>
        <v>4</v>
      </c>
      <c r="F6">
        <f t="shared" si="0"/>
        <v>4</v>
      </c>
      <c r="G6">
        <f t="shared" si="0"/>
        <v>4.5</v>
      </c>
      <c r="H6">
        <f t="shared" ref="H6" si="1">AVERAGE(H2:H5)</f>
        <v>54.704999999999998</v>
      </c>
      <c r="I6">
        <f t="shared" ref="I6" si="2">AVERAGE(I2:I5)</f>
        <v>0.15</v>
      </c>
      <c r="J6" s="54"/>
      <c r="K6" s="54"/>
      <c r="L6" s="54"/>
      <c r="M6" s="54"/>
      <c r="N6" s="54"/>
      <c r="Q6" t="s">
        <v>45</v>
      </c>
      <c r="R6">
        <f>AVERAGE(R2:R5)</f>
        <v>4.75</v>
      </c>
      <c r="S6">
        <f t="shared" ref="S6" si="3">AVERAGE(S2:S5)</f>
        <v>4</v>
      </c>
      <c r="T6">
        <f t="shared" ref="T6:U6" si="4">AVERAGE(T2:T5)</f>
        <v>4</v>
      </c>
      <c r="U6">
        <f t="shared" si="4"/>
        <v>5</v>
      </c>
      <c r="V6">
        <f t="shared" ref="V6" si="5">AVERAGE(V2:V5)</f>
        <v>3.75</v>
      </c>
      <c r="W6">
        <f t="shared" ref="W6" si="6">AVERAGE(W2:W5)</f>
        <v>38.844999999999999</v>
      </c>
      <c r="X6">
        <f t="shared" ref="X6" si="7">AVERAGE(X2:X5)</f>
        <v>1.9873333333333332</v>
      </c>
    </row>
    <row r="10" spans="2:30">
      <c r="B10" t="s">
        <v>556</v>
      </c>
      <c r="P10" t="s">
        <v>557</v>
      </c>
    </row>
    <row r="11" spans="2:30" ht="409.6" customHeight="1">
      <c r="B11" s="47" t="s">
        <v>542</v>
      </c>
      <c r="P11" s="18" t="s">
        <v>555</v>
      </c>
    </row>
  </sheetData>
  <mergeCells count="9">
    <mergeCell ref="J6:N6"/>
    <mergeCell ref="AA2:AD2"/>
    <mergeCell ref="AA3:AD3"/>
    <mergeCell ref="AA4:AD4"/>
    <mergeCell ref="AA5:AD5"/>
    <mergeCell ref="J2:N2"/>
    <mergeCell ref="J3:N3"/>
    <mergeCell ref="J4:N4"/>
    <mergeCell ref="J5:N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BAF9B-BDCE-4ECC-822B-3C119C47D1AB}">
  <dimension ref="B1:AD11"/>
  <sheetViews>
    <sheetView zoomScale="115" zoomScaleNormal="115" workbookViewId="0">
      <selection activeCell="J4" sqref="J4:N4"/>
    </sheetView>
  </sheetViews>
  <sheetFormatPr defaultRowHeight="15.6"/>
  <cols>
    <col min="2" max="2" width="10.69921875" bestFit="1" customWidth="1"/>
    <col min="3" max="3" width="10.09765625" customWidth="1"/>
    <col min="4" max="4" width="16.09765625" customWidth="1"/>
    <col min="5" max="5" width="13.8984375" customWidth="1"/>
    <col min="6" max="6" width="15.59765625" customWidth="1"/>
    <col min="7" max="7" width="16.3984375" customWidth="1"/>
    <col min="18" max="18" width="11.69921875" customWidth="1"/>
    <col min="19" max="19" width="10.59765625" customWidth="1"/>
    <col min="20" max="20" width="11.69921875" customWidth="1"/>
    <col min="21" max="21" width="13" customWidth="1"/>
    <col min="22" max="22" width="13.796875" customWidth="1"/>
  </cols>
  <sheetData>
    <row r="1" spans="2:30" ht="62.4">
      <c r="B1" s="1" t="s">
        <v>535</v>
      </c>
      <c r="C1" s="1" t="s">
        <v>536</v>
      </c>
      <c r="D1" s="7" t="s">
        <v>537</v>
      </c>
      <c r="E1" s="7" t="s">
        <v>538</v>
      </c>
      <c r="F1" s="7" t="s">
        <v>539</v>
      </c>
      <c r="G1" s="7" t="s">
        <v>540</v>
      </c>
      <c r="H1" s="7" t="s">
        <v>549</v>
      </c>
      <c r="I1" s="7" t="s">
        <v>552</v>
      </c>
      <c r="J1" s="7" t="s">
        <v>547</v>
      </c>
      <c r="P1" s="1" t="s">
        <v>535</v>
      </c>
      <c r="Q1" s="1" t="s">
        <v>536</v>
      </c>
      <c r="R1" s="7" t="s">
        <v>559</v>
      </c>
      <c r="S1" s="7" t="s">
        <v>558</v>
      </c>
      <c r="T1" s="7" t="s">
        <v>560</v>
      </c>
      <c r="U1" s="7" t="s">
        <v>561</v>
      </c>
      <c r="V1" s="7" t="s">
        <v>562</v>
      </c>
      <c r="W1" s="7" t="s">
        <v>549</v>
      </c>
      <c r="X1" s="7" t="s">
        <v>552</v>
      </c>
    </row>
    <row r="2" spans="2:30">
      <c r="B2" t="s">
        <v>534</v>
      </c>
      <c r="C2">
        <v>50</v>
      </c>
      <c r="D2">
        <v>4</v>
      </c>
      <c r="E2">
        <v>4</v>
      </c>
      <c r="F2">
        <v>4</v>
      </c>
      <c r="G2">
        <v>3</v>
      </c>
      <c r="H2">
        <v>20.7</v>
      </c>
      <c r="I2">
        <v>0.19</v>
      </c>
      <c r="J2" s="54" t="s">
        <v>545</v>
      </c>
      <c r="K2" s="54"/>
      <c r="L2" s="54"/>
      <c r="M2" s="54"/>
      <c r="N2" s="54"/>
      <c r="P2" t="s">
        <v>534</v>
      </c>
      <c r="Q2">
        <v>50</v>
      </c>
      <c r="R2">
        <v>3</v>
      </c>
      <c r="S2">
        <v>2</v>
      </c>
      <c r="T2">
        <v>1</v>
      </c>
      <c r="U2">
        <v>5</v>
      </c>
      <c r="V2">
        <v>3</v>
      </c>
      <c r="W2">
        <v>12.64</v>
      </c>
      <c r="X2">
        <v>1.64</v>
      </c>
      <c r="AA2" s="54" t="s">
        <v>566</v>
      </c>
      <c r="AB2" s="54"/>
      <c r="AC2" s="54"/>
      <c r="AD2" s="54"/>
    </row>
    <row r="3" spans="2:30">
      <c r="B3" t="s">
        <v>534</v>
      </c>
      <c r="C3">
        <v>30</v>
      </c>
      <c r="D3">
        <v>3</v>
      </c>
      <c r="E3">
        <v>4</v>
      </c>
      <c r="F3">
        <v>5</v>
      </c>
      <c r="G3">
        <v>4</v>
      </c>
      <c r="H3">
        <v>16.329999999999998</v>
      </c>
      <c r="I3">
        <v>0.13500000000000001</v>
      </c>
      <c r="J3" s="54" t="s">
        <v>546</v>
      </c>
      <c r="K3" s="54"/>
      <c r="L3" s="54"/>
      <c r="M3" s="54"/>
      <c r="N3" s="54"/>
      <c r="P3" t="s">
        <v>534</v>
      </c>
      <c r="Q3">
        <v>30</v>
      </c>
      <c r="R3">
        <v>4</v>
      </c>
      <c r="S3">
        <v>3</v>
      </c>
      <c r="T3">
        <v>2</v>
      </c>
      <c r="U3">
        <v>5</v>
      </c>
      <c r="V3">
        <v>3</v>
      </c>
      <c r="W3">
        <v>13.23</v>
      </c>
      <c r="X3">
        <v>1.87</v>
      </c>
      <c r="AA3" s="54" t="s">
        <v>567</v>
      </c>
      <c r="AB3" s="54"/>
      <c r="AC3" s="54"/>
      <c r="AD3" s="54"/>
    </row>
    <row r="4" spans="2:30">
      <c r="B4" t="s">
        <v>534</v>
      </c>
      <c r="C4">
        <v>10</v>
      </c>
      <c r="D4">
        <v>2</v>
      </c>
      <c r="E4">
        <v>4</v>
      </c>
      <c r="F4">
        <v>4</v>
      </c>
      <c r="G4">
        <v>4</v>
      </c>
      <c r="H4">
        <v>9.9499999999999993</v>
      </c>
      <c r="I4">
        <v>0.13</v>
      </c>
      <c r="J4" s="54" t="s">
        <v>550</v>
      </c>
      <c r="K4" s="54"/>
      <c r="L4" s="54"/>
      <c r="M4" s="54"/>
      <c r="N4" s="54"/>
      <c r="P4" t="s">
        <v>534</v>
      </c>
      <c r="Q4">
        <v>10</v>
      </c>
      <c r="R4">
        <v>5</v>
      </c>
      <c r="S4">
        <v>4</v>
      </c>
      <c r="T4">
        <v>4</v>
      </c>
      <c r="U4">
        <v>5</v>
      </c>
      <c r="V4">
        <v>4</v>
      </c>
      <c r="W4">
        <v>12.71</v>
      </c>
      <c r="X4">
        <v>1.48</v>
      </c>
      <c r="AA4" s="54" t="s">
        <v>568</v>
      </c>
      <c r="AB4" s="54"/>
      <c r="AC4" s="54"/>
      <c r="AD4" s="54"/>
    </row>
    <row r="5" spans="2:30">
      <c r="B5" t="s">
        <v>541</v>
      </c>
      <c r="C5">
        <v>50</v>
      </c>
      <c r="D5">
        <v>3</v>
      </c>
      <c r="E5">
        <v>3</v>
      </c>
      <c r="F5">
        <v>4</v>
      </c>
      <c r="G5">
        <v>4</v>
      </c>
      <c r="H5">
        <v>19.059999999999999</v>
      </c>
      <c r="I5">
        <v>0.09</v>
      </c>
      <c r="J5" s="54" t="s">
        <v>548</v>
      </c>
      <c r="K5" s="54"/>
      <c r="L5" s="54"/>
      <c r="M5" s="54"/>
      <c r="N5" s="54"/>
      <c r="P5" t="s">
        <v>541</v>
      </c>
      <c r="Q5">
        <v>50</v>
      </c>
      <c r="R5">
        <v>5</v>
      </c>
      <c r="S5">
        <v>4</v>
      </c>
      <c r="T5">
        <v>4</v>
      </c>
      <c r="U5">
        <v>5</v>
      </c>
      <c r="V5">
        <v>3</v>
      </c>
      <c r="W5">
        <v>15.32</v>
      </c>
      <c r="X5">
        <v>2.94</v>
      </c>
      <c r="AA5" s="54" t="s">
        <v>569</v>
      </c>
      <c r="AB5" s="54"/>
      <c r="AC5" s="54"/>
      <c r="AD5" s="54"/>
    </row>
    <row r="6" spans="2:30">
      <c r="C6" t="s">
        <v>45</v>
      </c>
      <c r="D6">
        <f>AVERAGE(D2:D5)</f>
        <v>3</v>
      </c>
      <c r="E6">
        <f t="shared" ref="E6:G6" si="0">AVERAGE(E2:E5)</f>
        <v>3.75</v>
      </c>
      <c r="F6">
        <f t="shared" si="0"/>
        <v>4.25</v>
      </c>
      <c r="G6">
        <f t="shared" si="0"/>
        <v>3.75</v>
      </c>
      <c r="H6">
        <f t="shared" ref="H6" si="1">AVERAGE(H2:H5)</f>
        <v>16.510000000000002</v>
      </c>
      <c r="I6">
        <f t="shared" ref="I6" si="2">AVERAGE(I2:I5)</f>
        <v>0.13625000000000001</v>
      </c>
      <c r="J6" s="54"/>
      <c r="K6" s="54"/>
      <c r="L6" s="54"/>
      <c r="M6" s="54"/>
      <c r="N6" s="54"/>
      <c r="Q6" t="s">
        <v>45</v>
      </c>
      <c r="R6">
        <f>AVERAGE(R2:R5)</f>
        <v>4.25</v>
      </c>
      <c r="S6">
        <f t="shared" ref="S6:X6" si="3">AVERAGE(S2:S5)</f>
        <v>3.25</v>
      </c>
      <c r="T6">
        <f t="shared" si="3"/>
        <v>2.75</v>
      </c>
      <c r="U6">
        <f t="shared" si="3"/>
        <v>5</v>
      </c>
      <c r="V6">
        <f t="shared" si="3"/>
        <v>3.25</v>
      </c>
      <c r="W6">
        <f t="shared" si="3"/>
        <v>13.475</v>
      </c>
      <c r="X6">
        <f t="shared" si="3"/>
        <v>1.9824999999999999</v>
      </c>
    </row>
    <row r="11" spans="2:30" ht="409.6" customHeight="1">
      <c r="B11" s="47" t="s">
        <v>542</v>
      </c>
    </row>
  </sheetData>
  <mergeCells count="9">
    <mergeCell ref="J6:N6"/>
    <mergeCell ref="AA2:AD2"/>
    <mergeCell ref="AA3:AD3"/>
    <mergeCell ref="AA4:AD4"/>
    <mergeCell ref="AA5:AD5"/>
    <mergeCell ref="J2:N2"/>
    <mergeCell ref="J3:N3"/>
    <mergeCell ref="J4:N4"/>
    <mergeCell ref="J5: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Cateogrías</vt:lpstr>
      <vt:lpstr>Eval_Estud_GPT</vt:lpstr>
      <vt:lpstr>Eval_Estud_Gemini</vt:lpstr>
      <vt:lpstr>Eval_Docent_GPT</vt:lpstr>
      <vt:lpstr>Eval_Docent_Gemini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JANNETH ALEXANDRA CHICAIZA ESPINOSA</dc:creator>
  <cp:lastModifiedBy>DANIEL EDUARDO FLORES SERRANO</cp:lastModifiedBy>
  <dcterms:created xsi:type="dcterms:W3CDTF">2025-12-10T20:16:43Z</dcterms:created>
  <dcterms:modified xsi:type="dcterms:W3CDTF">2026-02-19T08:13:44Z</dcterms:modified>
</cp:coreProperties>
</file>